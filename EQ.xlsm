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F:\11. PythonCoding\20260315_Equipment Foundation Design\"/>
    </mc:Choice>
  </mc:AlternateContent>
  <xr:revisionPtr revIDLastSave="0" documentId="13_ncr:1_{DBACD841-A552-48B8-B4A1-9A2DCCC88916}" xr6:coauthVersionLast="47" xr6:coauthVersionMax="47" xr10:uidLastSave="{00000000-0000-0000-0000-000000000000}"/>
  <bookViews>
    <workbookView xWindow="-108" yWindow="-108" windowWidth="23256" windowHeight="12576" tabRatio="920" activeTab="2" xr2:uid="{0074AEA0-DBDE-4550-AA3C-BE9940E6FBBE}"/>
  </bookViews>
  <sheets>
    <sheet name="Octagonal Footing" sheetId="200" r:id="rId1"/>
    <sheet name="Loading Data" sheetId="202" r:id="rId2"/>
    <sheet name="LoadCase" sheetId="204" r:id="rId3"/>
  </sheets>
  <externalReferences>
    <externalReference r:id="rId4"/>
  </externalReferences>
  <definedNames>
    <definedName name="_xlnm.Print_Area" localSheetId="0">'Octagonal Footing'!$A$1:$J$165</definedName>
    <definedName name="RECTANGULAR_SPREAD_FOOTING_ANALYSIS">'[1]Footing (8 net pier loads)'!$A$1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3" i="202" l="1"/>
  <c r="X4" i="202"/>
  <c r="X5" i="202"/>
  <c r="X6" i="202"/>
  <c r="X7" i="202"/>
  <c r="X8" i="202"/>
  <c r="X9" i="202"/>
  <c r="X10" i="202"/>
  <c r="X11" i="202"/>
  <c r="X12" i="202"/>
  <c r="X13" i="202"/>
  <c r="X14" i="202"/>
  <c r="X15" i="202"/>
  <c r="X16" i="202"/>
  <c r="X17" i="202"/>
  <c r="X18" i="202"/>
  <c r="X19" i="202"/>
  <c r="X20" i="202"/>
  <c r="X21" i="202"/>
  <c r="X22" i="202"/>
  <c r="X23" i="202"/>
  <c r="X24" i="202"/>
  <c r="X25" i="202"/>
  <c r="X26" i="202"/>
  <c r="X27" i="202"/>
  <c r="X28" i="202"/>
  <c r="X29" i="202"/>
  <c r="X30" i="202"/>
  <c r="X31" i="202"/>
  <c r="X32" i="202"/>
  <c r="X33" i="202"/>
  <c r="X34" i="202"/>
  <c r="X35" i="202"/>
  <c r="X36" i="202"/>
  <c r="X37" i="202"/>
  <c r="X38" i="202"/>
  <c r="X39" i="202"/>
  <c r="X40" i="202"/>
  <c r="X41" i="202"/>
  <c r="X42" i="202"/>
  <c r="X43" i="202"/>
  <c r="X44" i="202"/>
  <c r="X45" i="202"/>
  <c r="X46" i="202"/>
  <c r="X2" i="202"/>
  <c r="W3" i="202"/>
  <c r="W4" i="202"/>
  <c r="W5" i="202"/>
  <c r="W6" i="202"/>
  <c r="W7" i="202"/>
  <c r="W8" i="202"/>
  <c r="W9" i="202"/>
  <c r="W10" i="202"/>
  <c r="W11" i="202"/>
  <c r="W12" i="202"/>
  <c r="W13" i="202"/>
  <c r="W14" i="202"/>
  <c r="W15" i="202"/>
  <c r="W16" i="202"/>
  <c r="W17" i="202"/>
  <c r="W18" i="202"/>
  <c r="W19" i="202"/>
  <c r="W20" i="202"/>
  <c r="W21" i="202"/>
  <c r="W22" i="202"/>
  <c r="W23" i="202"/>
  <c r="W24" i="202"/>
  <c r="W25" i="202"/>
  <c r="W26" i="202"/>
  <c r="W27" i="202"/>
  <c r="W28" i="202"/>
  <c r="W29" i="202"/>
  <c r="W30" i="202"/>
  <c r="W31" i="202"/>
  <c r="W32" i="202"/>
  <c r="W33" i="202"/>
  <c r="W34" i="202"/>
  <c r="W35" i="202"/>
  <c r="W36" i="202"/>
  <c r="W37" i="202"/>
  <c r="W38" i="202"/>
  <c r="W39" i="202"/>
  <c r="W40" i="202"/>
  <c r="W41" i="202"/>
  <c r="W42" i="202"/>
  <c r="W43" i="202"/>
  <c r="W44" i="202"/>
  <c r="W45" i="202"/>
  <c r="W46" i="202"/>
  <c r="W2" i="202"/>
  <c r="AF2" i="202"/>
  <c r="AE2" i="202"/>
  <c r="AA3" i="202"/>
  <c r="AA4" i="202"/>
  <c r="AA5" i="202"/>
  <c r="AA6" i="202"/>
  <c r="AA7" i="202"/>
  <c r="AA8" i="202"/>
  <c r="AA9" i="202"/>
  <c r="AA10" i="202"/>
  <c r="AA11" i="202"/>
  <c r="AA12" i="202"/>
  <c r="AA13" i="202"/>
  <c r="AA14" i="202"/>
  <c r="AA15" i="202"/>
  <c r="AA16" i="202"/>
  <c r="AA17" i="202"/>
  <c r="AA18" i="202"/>
  <c r="AA19" i="202"/>
  <c r="AA20" i="202"/>
  <c r="AA21" i="202"/>
  <c r="AA22" i="202"/>
  <c r="AA23" i="202"/>
  <c r="AA24" i="202"/>
  <c r="AA25" i="202"/>
  <c r="AA26" i="202"/>
  <c r="AA27" i="202"/>
  <c r="AA28" i="202"/>
  <c r="AA29" i="202"/>
  <c r="AA30" i="202"/>
  <c r="AA31" i="202"/>
  <c r="AA32" i="202"/>
  <c r="AA33" i="202"/>
  <c r="AA34" i="202"/>
  <c r="AA35" i="202"/>
  <c r="AA36" i="202"/>
  <c r="AA37" i="202"/>
  <c r="AA38" i="202"/>
  <c r="AA39" i="202"/>
  <c r="AA40" i="202"/>
  <c r="AA41" i="202"/>
  <c r="AA42" i="202"/>
  <c r="AA43" i="202"/>
  <c r="AA44" i="202"/>
  <c r="AA45" i="202"/>
  <c r="AA46" i="202"/>
  <c r="AA2" i="202"/>
  <c r="Y3" i="202" l="1"/>
  <c r="Z3" i="202" s="1"/>
  <c r="Y4" i="202"/>
  <c r="Z4" i="202" s="1"/>
  <c r="Y5" i="202"/>
  <c r="Z5" i="202" s="1"/>
  <c r="Y6" i="202"/>
  <c r="Z6" i="202" s="1"/>
  <c r="Y7" i="202"/>
  <c r="Z7" i="202" s="1"/>
  <c r="Y8" i="202"/>
  <c r="Z8" i="202" s="1"/>
  <c r="Y9" i="202"/>
  <c r="Z9" i="202" s="1"/>
  <c r="Y10" i="202"/>
  <c r="Z10" i="202" s="1"/>
  <c r="Y11" i="202"/>
  <c r="Z11" i="202" s="1"/>
  <c r="Y12" i="202"/>
  <c r="Z12" i="202" s="1"/>
  <c r="Y13" i="202"/>
  <c r="Z13" i="202" s="1"/>
  <c r="Y14" i="202"/>
  <c r="Z14" i="202" s="1"/>
  <c r="Y15" i="202"/>
  <c r="Z15" i="202" s="1"/>
  <c r="Y16" i="202"/>
  <c r="Z16" i="202" s="1"/>
  <c r="Y17" i="202"/>
  <c r="Z17" i="202" s="1"/>
  <c r="Y18" i="202"/>
  <c r="Z18" i="202" s="1"/>
  <c r="Y19" i="202"/>
  <c r="Z19" i="202" s="1"/>
  <c r="Y20" i="202"/>
  <c r="Z20" i="202" s="1"/>
  <c r="Y21" i="202"/>
  <c r="Z21" i="202" s="1"/>
  <c r="Y22" i="202"/>
  <c r="Z22" i="202" s="1"/>
  <c r="Y23" i="202"/>
  <c r="Z23" i="202" s="1"/>
  <c r="Y24" i="202"/>
  <c r="Z24" i="202" s="1"/>
  <c r="Y25" i="202"/>
  <c r="Z25" i="202" s="1"/>
  <c r="Y26" i="202"/>
  <c r="Z26" i="202" s="1"/>
  <c r="Y27" i="202"/>
  <c r="Z27" i="202" s="1"/>
  <c r="Y28" i="202"/>
  <c r="Z28" i="202" s="1"/>
  <c r="Y29" i="202"/>
  <c r="Z29" i="202" s="1"/>
  <c r="Y30" i="202"/>
  <c r="Z30" i="202" s="1"/>
  <c r="Y31" i="202"/>
  <c r="Z31" i="202" s="1"/>
  <c r="Y32" i="202"/>
  <c r="Z32" i="202" s="1"/>
  <c r="Y33" i="202"/>
  <c r="Z33" i="202" s="1"/>
  <c r="Y34" i="202"/>
  <c r="Z34" i="202" s="1"/>
  <c r="Y35" i="202"/>
  <c r="Z35" i="202" s="1"/>
  <c r="Y36" i="202"/>
  <c r="Z36" i="202" s="1"/>
  <c r="Y37" i="202"/>
  <c r="Z37" i="202" s="1"/>
  <c r="Y38" i="202"/>
  <c r="Z38" i="202" s="1"/>
  <c r="Y39" i="202"/>
  <c r="Z39" i="202" s="1"/>
  <c r="Y40" i="202"/>
  <c r="Z40" i="202" s="1"/>
  <c r="Y41" i="202"/>
  <c r="Z41" i="202" s="1"/>
  <c r="Y42" i="202"/>
  <c r="Z42" i="202" s="1"/>
  <c r="Y43" i="202"/>
  <c r="Z43" i="202" s="1"/>
  <c r="Y44" i="202"/>
  <c r="Z44" i="202" s="1"/>
  <c r="Y45" i="202"/>
  <c r="Z45" i="202" s="1"/>
  <c r="Y46" i="202"/>
  <c r="Z46" i="202" s="1"/>
  <c r="Y2" i="202"/>
  <c r="Z2" i="202" s="1"/>
  <c r="AG2" i="202" s="1"/>
  <c r="AF13" i="202" l="1"/>
  <c r="AG13" i="202"/>
  <c r="AE13" i="202"/>
  <c r="AE12" i="202"/>
  <c r="AG12" i="202"/>
  <c r="AF12" i="202"/>
  <c r="AE23" i="202"/>
  <c r="AG23" i="202"/>
  <c r="AF23" i="202"/>
  <c r="AE11" i="202"/>
  <c r="AG11" i="202"/>
  <c r="AF11" i="202"/>
  <c r="AG9" i="202"/>
  <c r="AE9" i="202"/>
  <c r="AF9" i="202"/>
  <c r="AF37" i="202"/>
  <c r="AG37" i="202"/>
  <c r="AE37" i="202"/>
  <c r="AE22" i="202"/>
  <c r="AG22" i="202"/>
  <c r="AF22" i="202"/>
  <c r="AE8" i="202"/>
  <c r="AF8" i="202"/>
  <c r="AG8" i="202"/>
  <c r="AF25" i="202"/>
  <c r="AG25" i="202"/>
  <c r="AE25" i="202"/>
  <c r="AG33" i="202"/>
  <c r="AE33" i="202"/>
  <c r="AF33" i="202"/>
  <c r="AF19" i="202"/>
  <c r="AE19" i="202"/>
  <c r="AG19" i="202"/>
  <c r="AF7" i="202"/>
  <c r="AE7" i="202"/>
  <c r="AG7" i="202"/>
  <c r="AE34" i="202"/>
  <c r="AG34" i="202"/>
  <c r="AF34" i="202"/>
  <c r="AF32" i="202"/>
  <c r="AE32" i="202"/>
  <c r="AG32" i="202"/>
  <c r="AF30" i="202"/>
  <c r="AE30" i="202"/>
  <c r="AG30" i="202"/>
  <c r="AF18" i="202"/>
  <c r="AE18" i="202"/>
  <c r="AG18" i="202"/>
  <c r="AF6" i="202"/>
  <c r="AE6" i="202"/>
  <c r="AG6" i="202"/>
  <c r="AE24" i="202"/>
  <c r="AG24" i="202"/>
  <c r="AF24" i="202"/>
  <c r="AG45" i="202"/>
  <c r="AE45" i="202"/>
  <c r="AF45" i="202"/>
  <c r="AF31" i="202"/>
  <c r="AE31" i="202"/>
  <c r="AG31" i="202"/>
  <c r="AE17" i="202"/>
  <c r="AF17" i="202"/>
  <c r="AG17" i="202"/>
  <c r="AE5" i="202"/>
  <c r="AF5" i="202"/>
  <c r="AG5" i="202"/>
  <c r="AE36" i="202"/>
  <c r="AG36" i="202"/>
  <c r="AF36" i="202"/>
  <c r="AE46" i="202"/>
  <c r="AG46" i="202"/>
  <c r="AF46" i="202"/>
  <c r="AF20" i="202"/>
  <c r="AE20" i="202"/>
  <c r="AG20" i="202"/>
  <c r="AG40" i="202"/>
  <c r="AF40" i="202"/>
  <c r="AE40" i="202"/>
  <c r="AG28" i="202"/>
  <c r="AF28" i="202"/>
  <c r="AE28" i="202"/>
  <c r="AG16" i="202"/>
  <c r="AF16" i="202"/>
  <c r="AE16" i="202"/>
  <c r="AG4" i="202"/>
  <c r="AF4" i="202"/>
  <c r="AE4" i="202"/>
  <c r="AG21" i="202"/>
  <c r="AE21" i="202"/>
  <c r="AF21" i="202"/>
  <c r="AF43" i="202"/>
  <c r="AE43" i="202"/>
  <c r="AG43" i="202"/>
  <c r="AG39" i="202"/>
  <c r="AF39" i="202"/>
  <c r="AE39" i="202"/>
  <c r="AG27" i="202"/>
  <c r="AF27" i="202"/>
  <c r="AE27" i="202"/>
  <c r="AG15" i="202"/>
  <c r="AF15" i="202"/>
  <c r="AE15" i="202"/>
  <c r="AG3" i="202"/>
  <c r="AF3" i="202"/>
  <c r="AE3" i="202"/>
  <c r="AE35" i="202"/>
  <c r="AG35" i="202"/>
  <c r="AF35" i="202"/>
  <c r="AE10" i="202"/>
  <c r="AG10" i="202"/>
  <c r="AF10" i="202"/>
  <c r="AE44" i="202"/>
  <c r="AF44" i="202"/>
  <c r="AG44" i="202"/>
  <c r="AF42" i="202"/>
  <c r="AE42" i="202"/>
  <c r="AG42" i="202"/>
  <c r="AE41" i="202"/>
  <c r="AF41" i="202"/>
  <c r="AG41" i="202"/>
  <c r="AE29" i="202"/>
  <c r="AF29" i="202"/>
  <c r="AG29" i="202"/>
  <c r="AG38" i="202"/>
  <c r="AF38" i="202"/>
  <c r="AE38" i="202"/>
  <c r="AG26" i="202"/>
  <c r="AF26" i="202"/>
  <c r="AE26" i="202"/>
  <c r="AG14" i="202"/>
  <c r="AF14" i="202"/>
  <c r="AE14" i="202"/>
  <c r="M24" i="200" l="1"/>
  <c r="N24" i="200" s="1"/>
  <c r="M23" i="200"/>
  <c r="M25" i="200"/>
  <c r="N25" i="200" s="1"/>
  <c r="N23" i="200" l="1"/>
  <c r="M22" i="200"/>
  <c r="N22" i="200" s="1"/>
  <c r="V3" i="202" l="1"/>
  <c r="V4" i="202"/>
  <c r="V5" i="202"/>
  <c r="V6" i="202"/>
  <c r="V7" i="202"/>
  <c r="V8" i="202"/>
  <c r="V9" i="202"/>
  <c r="V10" i="202"/>
  <c r="V11" i="202"/>
  <c r="V12" i="202"/>
  <c r="V13" i="202"/>
  <c r="V14" i="202"/>
  <c r="V15" i="202"/>
  <c r="V16" i="202"/>
  <c r="V17" i="202"/>
  <c r="V18" i="202"/>
  <c r="V19" i="202"/>
  <c r="V20" i="202"/>
  <c r="V21" i="202"/>
  <c r="V22" i="202"/>
  <c r="V23" i="202"/>
  <c r="V24" i="202"/>
  <c r="V25" i="202"/>
  <c r="V26" i="202"/>
  <c r="V27" i="202"/>
  <c r="V28" i="202"/>
  <c r="V29" i="202"/>
  <c r="V30" i="202"/>
  <c r="V31" i="202"/>
  <c r="V32" i="202"/>
  <c r="V33" i="202"/>
  <c r="V34" i="202"/>
  <c r="V35" i="202"/>
  <c r="V36" i="202"/>
  <c r="V37" i="202"/>
  <c r="V38" i="202"/>
  <c r="V39" i="202"/>
  <c r="V40" i="202"/>
  <c r="V41" i="202"/>
  <c r="V42" i="202"/>
  <c r="V43" i="202"/>
  <c r="V44" i="202"/>
  <c r="V45" i="202"/>
  <c r="V46" i="202"/>
  <c r="V2" i="202"/>
  <c r="AY15" i="200" l="1"/>
  <c r="BA15" i="200"/>
  <c r="AZ14" i="200"/>
  <c r="AX14" i="200"/>
  <c r="AW15" i="200"/>
  <c r="P4" i="200"/>
  <c r="O4" i="200"/>
  <c r="C63" i="200"/>
  <c r="C52" i="200"/>
  <c r="C41" i="200"/>
  <c r="C42" i="200" s="1"/>
  <c r="C45" i="200" s="1"/>
  <c r="C40" i="200"/>
  <c r="BD11" i="200" s="1"/>
  <c r="C39" i="200"/>
  <c r="C38" i="200" s="1"/>
  <c r="C35" i="200"/>
  <c r="C33" i="200"/>
  <c r="C34" i="200" s="1"/>
  <c r="C48" i="200" s="1"/>
  <c r="C32" i="200"/>
  <c r="AX8" i="200" s="1"/>
  <c r="C31" i="200"/>
  <c r="C30" i="200" s="1"/>
  <c r="AZ8" i="200" l="1"/>
  <c r="BD8" i="200"/>
  <c r="BE8" i="200"/>
  <c r="BA10" i="200"/>
  <c r="BB8" i="200"/>
  <c r="AX10" i="200"/>
  <c r="BA8" i="200"/>
  <c r="AZ10" i="200"/>
  <c r="BD10" i="200"/>
  <c r="AX9" i="200"/>
  <c r="BE10" i="200"/>
  <c r="AY9" i="200"/>
  <c r="AX11" i="200"/>
  <c r="AZ9" i="200"/>
  <c r="AY11" i="200"/>
  <c r="BB9" i="200"/>
  <c r="AZ11" i="200"/>
  <c r="BC9" i="200"/>
  <c r="BB11" i="200"/>
  <c r="AW8" i="200"/>
  <c r="BD9" i="200"/>
  <c r="BC11" i="200"/>
  <c r="BB10" i="200"/>
  <c r="AW10" i="200"/>
  <c r="C68" i="200"/>
  <c r="C47" i="200"/>
  <c r="C46" i="200"/>
  <c r="C78" i="200"/>
  <c r="C51" i="200" l="1"/>
  <c r="C64" i="200" s="1"/>
  <c r="C65" i="200" s="1"/>
  <c r="M13" i="200" s="1"/>
  <c r="C58" i="200" l="1"/>
  <c r="C53" i="200"/>
  <c r="C59" i="200" l="1"/>
  <c r="C60" i="200" s="1"/>
  <c r="M11" i="200" s="1"/>
  <c r="AW12" i="200"/>
  <c r="C54" i="200"/>
  <c r="Z61" i="200" l="1"/>
  <c r="S57" i="200"/>
  <c r="T61" i="200"/>
  <c r="S63" i="200"/>
  <c r="S61" i="200"/>
  <c r="AA59" i="200"/>
  <c r="Z59" i="200"/>
  <c r="AA63" i="200"/>
  <c r="T59" i="200"/>
  <c r="Z58" i="200"/>
  <c r="AA57" i="200"/>
  <c r="Z63" i="200"/>
  <c r="S59" i="200"/>
  <c r="T63" i="200"/>
  <c r="S58" i="200"/>
  <c r="S62" i="200"/>
  <c r="Z57" i="200"/>
  <c r="AA61" i="200"/>
  <c r="T57" i="200"/>
  <c r="Z62" i="200"/>
  <c r="T62" i="200" l="1"/>
  <c r="C72" i="200" s="1"/>
  <c r="C74" i="200" s="1"/>
  <c r="AA58" i="200"/>
  <c r="C79" i="200" s="1"/>
  <c r="T58" i="200"/>
  <c r="C69" i="200" s="1"/>
  <c r="AA62" i="200"/>
  <c r="C82" i="200" s="1"/>
  <c r="C73" i="200" l="1"/>
  <c r="C75" i="200" s="1"/>
  <c r="C83" i="200"/>
  <c r="C85" i="200" s="1"/>
  <c r="C84" i="200"/>
  <c r="M19" i="200" l="1"/>
  <c r="M17" i="200"/>
  <c r="W54" i="200" l="1"/>
  <c r="U54" i="200"/>
  <c r="W53" i="200"/>
  <c r="U53" i="200"/>
  <c r="AD52" i="200"/>
  <c r="AB52" i="200"/>
  <c r="W52" i="200"/>
  <c r="U52" i="200"/>
  <c r="AD51" i="200"/>
  <c r="AB51" i="200"/>
  <c r="W51" i="200"/>
  <c r="U51" i="200"/>
  <c r="AD50" i="200"/>
  <c r="AB50" i="200"/>
  <c r="W50" i="200"/>
  <c r="U50" i="200"/>
  <c r="AD49" i="200"/>
  <c r="AB49" i="200"/>
  <c r="W49" i="200"/>
  <c r="U49" i="200"/>
  <c r="AD48" i="200"/>
  <c r="AB48" i="200"/>
  <c r="W48" i="200"/>
  <c r="U48" i="200"/>
  <c r="AD47" i="200"/>
  <c r="AB47" i="200"/>
  <c r="W47" i="200"/>
  <c r="U47" i="200"/>
  <c r="AD46" i="200"/>
  <c r="AB46" i="200"/>
  <c r="W46" i="200"/>
  <c r="U46" i="200"/>
  <c r="AD45" i="200"/>
  <c r="AB45" i="200"/>
  <c r="W45" i="200"/>
  <c r="U45" i="200"/>
  <c r="AD44" i="200"/>
  <c r="AB44" i="200"/>
  <c r="W44" i="200"/>
  <c r="U44" i="200"/>
  <c r="AD43" i="200"/>
  <c r="AB43" i="200"/>
  <c r="W43" i="200"/>
  <c r="U43" i="200"/>
  <c r="AD42" i="200"/>
  <c r="AB42" i="200"/>
  <c r="W42" i="200"/>
  <c r="U42" i="200"/>
  <c r="AD41" i="200"/>
  <c r="AB41" i="200"/>
  <c r="W41" i="200"/>
  <c r="U41" i="200"/>
  <c r="AD40" i="200"/>
  <c r="AB40" i="200"/>
  <c r="W40" i="200"/>
  <c r="U40" i="200"/>
  <c r="AD39" i="200"/>
  <c r="AB39" i="200"/>
  <c r="W39" i="200"/>
  <c r="U39" i="200"/>
  <c r="AD38" i="200"/>
  <c r="AB38" i="200"/>
  <c r="W38" i="200"/>
  <c r="U38" i="200"/>
  <c r="AD37" i="200"/>
  <c r="AB37" i="200"/>
  <c r="W37" i="200"/>
  <c r="U37" i="200"/>
  <c r="AD36" i="200"/>
  <c r="AB36" i="200"/>
  <c r="W36" i="200"/>
  <c r="U36" i="200"/>
  <c r="AD35" i="200"/>
  <c r="AB35" i="200"/>
  <c r="W35" i="200"/>
  <c r="U35" i="200"/>
  <c r="AD34" i="200"/>
  <c r="AB34" i="200"/>
  <c r="W34" i="200"/>
  <c r="U34" i="200"/>
  <c r="AD33" i="200"/>
  <c r="AB33" i="200"/>
  <c r="W33" i="200"/>
  <c r="U33" i="200"/>
  <c r="AD32" i="200"/>
  <c r="AB32" i="200"/>
  <c r="W32" i="200"/>
  <c r="U32" i="200"/>
  <c r="AD31" i="200"/>
  <c r="AB31" i="200"/>
  <c r="W31" i="200"/>
  <c r="U31" i="200"/>
  <c r="AD30" i="200"/>
  <c r="AB30" i="200"/>
  <c r="W30" i="200"/>
  <c r="U30" i="200"/>
  <c r="AD29" i="200"/>
  <c r="AB29" i="200"/>
  <c r="W29" i="200"/>
  <c r="U29" i="200"/>
  <c r="AD28" i="200"/>
  <c r="AB28" i="200"/>
  <c r="W28" i="200"/>
  <c r="U28" i="200"/>
  <c r="AD27" i="200"/>
  <c r="AB27" i="200"/>
  <c r="W27" i="200"/>
  <c r="U27" i="200"/>
  <c r="AD26" i="200"/>
  <c r="AB26" i="200"/>
  <c r="W26" i="200"/>
  <c r="U26" i="200"/>
  <c r="AD25" i="200"/>
  <c r="AB25" i="200"/>
  <c r="W25" i="200"/>
  <c r="U25" i="200"/>
  <c r="AD24" i="200"/>
  <c r="AB24" i="200"/>
  <c r="W24" i="200"/>
  <c r="U24" i="200"/>
  <c r="AD23" i="200"/>
  <c r="AB23" i="200"/>
  <c r="W23" i="200"/>
  <c r="U23" i="200"/>
  <c r="AD22" i="200"/>
  <c r="AB22" i="200"/>
  <c r="W22" i="200"/>
  <c r="U22" i="200"/>
  <c r="AD21" i="200"/>
  <c r="AB21" i="200"/>
  <c r="W21" i="200"/>
  <c r="U21" i="200"/>
  <c r="AD20" i="200"/>
  <c r="AB20" i="200"/>
  <c r="W20" i="200"/>
  <c r="U20" i="200"/>
  <c r="AD19" i="200"/>
  <c r="AB19" i="200"/>
  <c r="W19" i="200"/>
  <c r="U19" i="200"/>
  <c r="AD18" i="200"/>
  <c r="AB18" i="200"/>
  <c r="W18" i="200"/>
  <c r="U18" i="200"/>
  <c r="AD17" i="200"/>
  <c r="AB17" i="200"/>
  <c r="W17" i="200"/>
  <c r="U17" i="200"/>
  <c r="AD16" i="200"/>
  <c r="AB16" i="200"/>
  <c r="W16" i="200"/>
  <c r="U16" i="200"/>
  <c r="AD15" i="200"/>
  <c r="AB15" i="200"/>
  <c r="W15" i="200"/>
  <c r="U15" i="200"/>
  <c r="AD14" i="200"/>
  <c r="AB14" i="200"/>
  <c r="W14" i="200"/>
  <c r="U14" i="200"/>
  <c r="AW13" i="200"/>
  <c r="AD13" i="200"/>
  <c r="AB13" i="200"/>
  <c r="W13" i="200"/>
  <c r="U13" i="200"/>
  <c r="AD12" i="200"/>
  <c r="AB12" i="200"/>
  <c r="W12" i="200"/>
  <c r="U12" i="200"/>
  <c r="BE11" i="200"/>
  <c r="BA11" i="200"/>
  <c r="AW11" i="200"/>
  <c r="AD11" i="200"/>
  <c r="AB11" i="200"/>
  <c r="W11" i="200"/>
  <c r="U11" i="200"/>
  <c r="BC10" i="200"/>
  <c r="AY10" i="200"/>
  <c r="AD10" i="200"/>
  <c r="AB10" i="200"/>
  <c r="W10" i="200"/>
  <c r="U10" i="200"/>
  <c r="BE9" i="200"/>
  <c r="BA9" i="200"/>
  <c r="AW9" i="200"/>
  <c r="AD9" i="200"/>
  <c r="AB9" i="200"/>
  <c r="W9" i="200"/>
  <c r="U9" i="200"/>
  <c r="BC8" i="200"/>
  <c r="AY8" i="200"/>
  <c r="AD8" i="200"/>
  <c r="AB8" i="200"/>
  <c r="W8" i="200"/>
  <c r="U8" i="200"/>
  <c r="AX18" i="200"/>
  <c r="AW18" i="200"/>
  <c r="AX16" i="200"/>
  <c r="AX19" i="200"/>
  <c r="AW16" i="200" l="1"/>
  <c r="AW17" i="200"/>
  <c r="AW19" i="200"/>
  <c r="AX17" i="200"/>
  <c r="C80" i="200" l="1"/>
  <c r="C81" i="200" s="1"/>
  <c r="C70" i="200"/>
  <c r="C71" i="200" s="1"/>
  <c r="M15" i="20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 Dalpiaz</author>
    <author>O'Neal User</author>
    <author>Fluor</author>
  </authors>
  <commentList>
    <comment ref="K1" authorId="0" shapeId="0" xr:uid="{934BF32C-B3B8-42A5-BB8E-916A5F9E3978}">
      <text>
        <r>
          <rPr>
            <sz val="8"/>
            <color indexed="81"/>
            <rFont val="Tahoma"/>
            <family val="2"/>
          </rPr>
          <t xml:space="preserve">              "</t>
        </r>
        <r>
          <rPr>
            <b/>
            <sz val="8"/>
            <color indexed="81"/>
            <rFont val="Tahoma"/>
            <family val="2"/>
          </rPr>
          <t>FOOTINGS.xls</t>
        </r>
        <r>
          <rPr>
            <sz val="8"/>
            <color indexed="81"/>
            <rFont val="Tahoma"/>
            <family val="2"/>
          </rPr>
          <t>"
written by:  Alex Tomanovich, P.E.</t>
        </r>
      </text>
    </comment>
    <comment ref="P2" authorId="1" shapeId="0" xr:uid="{1BE0A3A3-47EE-4115-9FD9-72E3D64CB05C}">
      <text>
        <r>
          <rPr>
            <sz val="8"/>
            <color indexed="81"/>
            <rFont val="Tahoma"/>
            <family val="2"/>
          </rPr>
          <t>The "X" and "Y" plot scale factors below are determined from the X/Y ratio of the actual on-screen measured lengths of the X and Y axies.  The default value initially set up for use in this worksheet is X/Y = 1.0.</t>
        </r>
      </text>
    </comment>
    <comment ref="M4" authorId="2" shapeId="0" xr:uid="{3DAB00AB-38AF-4AB2-A9F8-4C29DE03C242}">
      <text>
        <r>
          <rPr>
            <sz val="8"/>
            <color indexed="81"/>
            <rFont val="Tahoma"/>
            <family val="2"/>
          </rPr>
          <t>The X/Y ratio is the ratio of the actual on-screen measured lenghts of the X and Y axes.  The default value initially set up for use in this work sheet is X/Y = 1.0.</t>
        </r>
      </text>
    </comment>
    <comment ref="T7" authorId="2" shapeId="0" xr:uid="{30AABA7A-5D09-47C2-830E-C111E030F11B}">
      <text>
        <r>
          <rPr>
            <sz val="9"/>
            <color indexed="81"/>
            <rFont val="Arial"/>
            <family val="2"/>
          </rPr>
          <t>Values of bearing coefficient, "K", in this column are values obtained manually from Figure B.</t>
        </r>
      </text>
    </comment>
    <comment ref="U7" authorId="2" shapeId="0" xr:uid="{4A5E383B-5A2F-4287-9F67-7D0C87370F3E}">
      <text>
        <r>
          <rPr>
            <sz val="9"/>
            <color indexed="81"/>
            <rFont val="Arial"/>
            <family val="2"/>
          </rPr>
          <t xml:space="preserve">From graph at right, the derived trend line polynomial which closely approximates the curve for K vs. e/Df is as follows:
  y = -3.1498*x^2 + 4.3329*x - 0.4815
    where: x = e/Df
                 y = K
  </t>
        </r>
      </text>
    </comment>
    <comment ref="V7" authorId="2" shapeId="0" xr:uid="{813764C8-5217-49F3-AC5D-AAE59357AA7B}">
      <text>
        <r>
          <rPr>
            <sz val="9"/>
            <color indexed="81"/>
            <rFont val="Arial"/>
            <family val="2"/>
          </rPr>
          <t>Values of bearing coefficient, "L", in this column are values obtained manually from Figure B.</t>
        </r>
      </text>
    </comment>
    <comment ref="W7" authorId="2" shapeId="0" xr:uid="{D372DAC6-68D1-4B05-8D19-F7B61AD1BA0C}">
      <text>
        <r>
          <rPr>
            <sz val="9"/>
            <color indexed="81"/>
            <rFont val="Arial"/>
            <family val="2"/>
          </rPr>
          <t xml:space="preserve">From graph at right, the derived trend line polynomial which closely approximates the curve for L vs. e/Df is as follows:
  y = 22186*x^5 - 23334*x^4 + 9750*x^3 - 1967.2*x^2 + 199.24*x - 6.1723
    where: x = e/Df
                 y = L
  </t>
        </r>
      </text>
    </comment>
    <comment ref="AA7" authorId="2" shapeId="0" xr:uid="{4DDB410C-7E7B-4F59-852E-1CAA085923A4}">
      <text>
        <r>
          <rPr>
            <sz val="9"/>
            <color indexed="81"/>
            <rFont val="Arial"/>
            <family val="2"/>
          </rPr>
          <t>Values of bearing coefficient, "K", in this column are values obtained manually from Figure B.</t>
        </r>
      </text>
    </comment>
    <comment ref="AB7" authorId="2" shapeId="0" xr:uid="{9FB23128-CCBE-493E-9588-3CB27B068B96}">
      <text>
        <r>
          <rPr>
            <sz val="9"/>
            <color indexed="81"/>
            <rFont val="Arial"/>
            <family val="2"/>
          </rPr>
          <t xml:space="preserve">From graph at right, the derived trend line polynomial which closely approximates the curve for K vs. e/Df is as follows:
  y = -2.6826*x^2 + 4.1432*x - 0.5019
    where: x = e/Df
                 y = K
  </t>
        </r>
      </text>
    </comment>
    <comment ref="AC7" authorId="2" shapeId="0" xr:uid="{6F1FDE1A-5964-4F15-8081-F642CEA83A7A}">
      <text>
        <r>
          <rPr>
            <sz val="9"/>
            <color indexed="81"/>
            <rFont val="Arial"/>
            <family val="2"/>
          </rPr>
          <t>Values of bearing coefficient, "L", in this column are values obtained manually from Figure B.</t>
        </r>
      </text>
    </comment>
    <comment ref="AD7" authorId="2" shapeId="0" xr:uid="{472BD9E8-874D-4EA0-A3E7-93C50CC86D0F}">
      <text>
        <r>
          <rPr>
            <sz val="9"/>
            <color indexed="81"/>
            <rFont val="Arial"/>
            <family val="2"/>
          </rPr>
          <t xml:space="preserve">From graph at right, the derived trend line polynomial which closely approximates the curve for L vs. e/D is as follows:
  y = 5548.1*x^5 - 5093.6*x^4 + 1984.4*x^3 - 365.88*x^2 + 38.796*x + 0.0321
    where: x = e/D
                 y = L
  </t>
        </r>
      </text>
    </comment>
    <comment ref="C22" authorId="2" shapeId="0" xr:uid="{BAEFC56F-FC3E-4B6B-875D-B8026A430018}">
      <text>
        <r>
          <rPr>
            <sz val="8"/>
            <color indexed="81"/>
            <rFont val="Tahoma"/>
            <family val="2"/>
          </rPr>
          <t xml:space="preserve">'P' is the vertical load to be applied at the C.L. of the pier.
Sign convention used in this worksheet:
  +  = downward for gravity load (MUST BE input as positive)
</t>
        </r>
      </text>
    </comment>
    <comment ref="C23" authorId="2" shapeId="0" xr:uid="{9D6E4C84-4D2B-4C0D-8259-CA1E0A21ED96}">
      <text>
        <r>
          <rPr>
            <sz val="8"/>
            <color indexed="81"/>
            <rFont val="Tahoma"/>
            <family val="2"/>
          </rPr>
          <t xml:space="preserve">'P' is the vertical load to be applied at the C.L. of the pier.
Sign convention used in this worksheet:
  +  = downward for gravity load (MUST BE input as positive)
</t>
        </r>
      </text>
    </comment>
    <comment ref="C24" authorId="2" shapeId="0" xr:uid="{FD987587-6797-42FA-B4FA-2A25E0040CFA}">
      <text>
        <r>
          <rPr>
            <sz val="8"/>
            <color indexed="81"/>
            <rFont val="Tahoma"/>
            <family val="2"/>
          </rPr>
          <t>'M' is the moment to be applied at the top of the pier.
Sign convention: + = clockwise (MUST BE input as positive)</t>
        </r>
      </text>
    </comment>
    <comment ref="C60" authorId="1" shapeId="0" xr:uid="{8E5D34D8-D5E2-42E6-BCA5-3FA264454931}">
      <text>
        <r>
          <rPr>
            <sz val="8"/>
            <color indexed="81"/>
            <rFont val="Tahoma"/>
            <family val="2"/>
          </rPr>
          <t xml:space="preserve">The Factor of Safety against overturning, using flat to flat side footing dimension:
  FS(ot) = Mr/Mo = </t>
        </r>
        <r>
          <rPr>
            <sz val="8"/>
            <color indexed="81"/>
            <rFont val="Symbol"/>
            <family val="1"/>
            <charset val="2"/>
          </rPr>
          <t>S</t>
        </r>
        <r>
          <rPr>
            <sz val="8"/>
            <color indexed="81"/>
            <rFont val="Tahoma"/>
            <family val="2"/>
          </rPr>
          <t>P*(Df/2)/(</t>
        </r>
        <r>
          <rPr>
            <sz val="8"/>
            <color indexed="81"/>
            <rFont val="Symbol"/>
            <family val="1"/>
            <charset val="2"/>
          </rPr>
          <t>S</t>
        </r>
        <r>
          <rPr>
            <sz val="8"/>
            <color indexed="81"/>
            <rFont val="Tahoma"/>
            <family val="2"/>
          </rPr>
          <t xml:space="preserve">P*e) = Df/(2*e)
</t>
        </r>
        <r>
          <rPr>
            <sz val="8"/>
            <color indexed="10"/>
            <rFont val="Tahoma"/>
            <family val="2"/>
          </rPr>
          <t xml:space="preserve">
Note: for load combinations involving either IBC or ASCE 7 Codes, when a reduced dead load = 0.6*D is specified for use along with either wind or seismic load, then a FS(ot) = 1.0 may be used.  Use a FS(ot) = 1.5 for load combinations when full, unreduced dead load is utilized.</t>
        </r>
      </text>
    </comment>
    <comment ref="C65" authorId="1" shapeId="0" xr:uid="{A582DEC0-E55C-4EE1-B974-7F5FE4ADACA9}">
      <text>
        <r>
          <rPr>
            <sz val="8"/>
            <color indexed="81"/>
            <rFont val="Tahoma"/>
            <family val="2"/>
          </rPr>
          <t xml:space="preserve">The Factor of Safety against sliding, using flat to flat side footing dimension, Df:
  FS(slid) = (PR+FR)/H
</t>
        </r>
        <r>
          <rPr>
            <sz val="8"/>
            <color indexed="10"/>
            <rFont val="Tahoma"/>
            <family val="2"/>
          </rPr>
          <t xml:space="preserve">
Note: for load combinations involving either IBC or ASCE 7 Codes, when a reduced dead load = 0.6*D is specified for use along with either wind or seismic load, then a FS(slid) = 1.0 may be used.  Use a FS(slid) = 1.5 for load combinations when full, unreduced dead load is utilized.</t>
        </r>
      </text>
    </comment>
    <comment ref="C73" authorId="2" shapeId="0" xr:uid="{35A62E37-729F-49A4-8483-79BB19F009D1}">
      <text>
        <r>
          <rPr>
            <sz val="9"/>
            <color indexed="81"/>
            <rFont val="Arial"/>
            <family val="2"/>
          </rPr>
          <t xml:space="preserve">For overturning about axis through corners of octagonal footing, the controlling value of the eccentricity ratio, e/Df = 0.1221, is the ratio of e/Df for which the octagonal footing base is still in full bearing, with the maximum bearing pressure at one footing corner and the minimum pressure = 0, at the opposite footing corner.
For e/Df &lt;= 0.1221:  
  P(max) = </t>
        </r>
        <r>
          <rPr>
            <sz val="9"/>
            <color indexed="81"/>
            <rFont val="Symbol"/>
            <family val="1"/>
            <charset val="2"/>
          </rPr>
          <t>S</t>
        </r>
        <r>
          <rPr>
            <sz val="9"/>
            <color indexed="81"/>
            <rFont val="Arial"/>
            <family val="2"/>
          </rPr>
          <t>P/Af+</t>
        </r>
        <r>
          <rPr>
            <sz val="9"/>
            <color indexed="81"/>
            <rFont val="Symbol"/>
            <family val="1"/>
            <charset val="2"/>
          </rPr>
          <t>S</t>
        </r>
        <r>
          <rPr>
            <sz val="9"/>
            <color indexed="81"/>
            <rFont val="Arial"/>
            <family val="2"/>
          </rPr>
          <t xml:space="preserve">M/Sf
  P(min) = </t>
        </r>
        <r>
          <rPr>
            <sz val="9"/>
            <color indexed="81"/>
            <rFont val="Symbol"/>
            <family val="1"/>
            <charset val="2"/>
          </rPr>
          <t>S</t>
        </r>
        <r>
          <rPr>
            <sz val="9"/>
            <color indexed="81"/>
            <rFont val="Arial"/>
            <family val="2"/>
          </rPr>
          <t>P/Af-</t>
        </r>
        <r>
          <rPr>
            <sz val="9"/>
            <color indexed="81"/>
            <rFont val="Symbol"/>
            <family val="1"/>
            <charset val="2"/>
          </rPr>
          <t>S</t>
        </r>
        <r>
          <rPr>
            <sz val="9"/>
            <color indexed="81"/>
            <rFont val="Arial"/>
            <family val="2"/>
          </rPr>
          <t xml:space="preserve">M/Sf
    where: Sf = </t>
        </r>
        <r>
          <rPr>
            <sz val="9"/>
            <color indexed="81"/>
            <rFont val="Tahoma"/>
            <family val="2"/>
          </rPr>
          <t>I</t>
        </r>
        <r>
          <rPr>
            <sz val="9"/>
            <color indexed="81"/>
            <rFont val="Arial"/>
            <family val="2"/>
          </rPr>
          <t>f/(Ef/2)  ("Ef" is diagonal between opposite corners)
For e/Df &gt; 0.1221:
  P(max) = L*</t>
        </r>
        <r>
          <rPr>
            <sz val="9"/>
            <color indexed="81"/>
            <rFont val="Symbol"/>
            <family val="1"/>
            <charset val="2"/>
          </rPr>
          <t>S</t>
        </r>
        <r>
          <rPr>
            <sz val="9"/>
            <color indexed="81"/>
            <rFont val="Arial"/>
            <family val="2"/>
          </rPr>
          <t xml:space="preserve">P/A, where "L" is from PIP STE03350 Figure B
  P(min) = 0
The value of e/Df = 0.1221 is determined as follows:
  set </t>
        </r>
        <r>
          <rPr>
            <sz val="9"/>
            <color indexed="81"/>
            <rFont val="Symbol"/>
            <family val="1"/>
            <charset val="2"/>
          </rPr>
          <t>S</t>
        </r>
        <r>
          <rPr>
            <sz val="9"/>
            <color indexed="81"/>
            <rFont val="Arial"/>
            <family val="2"/>
          </rPr>
          <t xml:space="preserve">P/Af - </t>
        </r>
        <r>
          <rPr>
            <sz val="9"/>
            <color indexed="81"/>
            <rFont val="Symbol"/>
            <family val="1"/>
            <charset val="2"/>
          </rPr>
          <t>S</t>
        </r>
        <r>
          <rPr>
            <sz val="9"/>
            <color indexed="81"/>
            <rFont val="Arial"/>
            <family val="2"/>
          </rPr>
          <t xml:space="preserve">P*e/Sf = 0 and solve for "e" in terms of "Df"
         where: "Af" is expressed in terms of "Df" and,
                      Sf = </t>
        </r>
        <r>
          <rPr>
            <sz val="9"/>
            <color indexed="81"/>
            <rFont val="Tahoma"/>
            <family val="2"/>
          </rPr>
          <t>I</t>
        </r>
        <r>
          <rPr>
            <sz val="9"/>
            <color indexed="81"/>
            <rFont val="Arial"/>
            <family val="2"/>
          </rPr>
          <t>f/(Ef/2), with "</t>
        </r>
        <r>
          <rPr>
            <sz val="9"/>
            <color indexed="81"/>
            <rFont val="Tahoma"/>
            <family val="2"/>
          </rPr>
          <t>I</t>
        </r>
        <r>
          <rPr>
            <sz val="9"/>
            <color indexed="81"/>
            <rFont val="Arial"/>
            <family val="2"/>
          </rPr>
          <t>f" and "Ef" espressed in terms of "Df"</t>
        </r>
      </text>
    </comment>
    <comment ref="C74" authorId="2" shapeId="0" xr:uid="{B73707BA-2AC2-499F-90C0-B2195677E3FF}">
      <text>
        <r>
          <rPr>
            <sz val="9"/>
            <color indexed="81"/>
            <rFont val="Arial"/>
            <family val="2"/>
          </rPr>
          <t xml:space="preserve">For overturning about axis through corners of octagonal footing, the controlling value of the eccentricity ratio, e/Df = 0.1221, is the ratio of e/Df for which the octagonal footing base is still in full bearing, with the maximum bearing pressure at one footing corner and the minimum pressure = 0, at the opposite footing corner.
For e/Df &lt;= 0.1221:  
  P(max) = </t>
        </r>
        <r>
          <rPr>
            <sz val="9"/>
            <color indexed="81"/>
            <rFont val="Symbol"/>
            <family val="1"/>
            <charset val="2"/>
          </rPr>
          <t>S</t>
        </r>
        <r>
          <rPr>
            <sz val="9"/>
            <color indexed="81"/>
            <rFont val="Arial"/>
            <family val="2"/>
          </rPr>
          <t>P/Af+</t>
        </r>
        <r>
          <rPr>
            <sz val="9"/>
            <color indexed="81"/>
            <rFont val="Symbol"/>
            <family val="1"/>
            <charset val="2"/>
          </rPr>
          <t>S</t>
        </r>
        <r>
          <rPr>
            <sz val="9"/>
            <color indexed="81"/>
            <rFont val="Arial"/>
            <family val="2"/>
          </rPr>
          <t xml:space="preserve">M/Sf
  P(min) = </t>
        </r>
        <r>
          <rPr>
            <sz val="9"/>
            <color indexed="81"/>
            <rFont val="Symbol"/>
            <family val="1"/>
            <charset val="2"/>
          </rPr>
          <t>S</t>
        </r>
        <r>
          <rPr>
            <sz val="9"/>
            <color indexed="81"/>
            <rFont val="Arial"/>
            <family val="2"/>
          </rPr>
          <t>P/Af-</t>
        </r>
        <r>
          <rPr>
            <sz val="9"/>
            <color indexed="81"/>
            <rFont val="Symbol"/>
            <family val="1"/>
            <charset val="2"/>
          </rPr>
          <t>S</t>
        </r>
        <r>
          <rPr>
            <sz val="9"/>
            <color indexed="81"/>
            <rFont val="Arial"/>
            <family val="2"/>
          </rPr>
          <t xml:space="preserve">M/Sf
    where: Sf = </t>
        </r>
        <r>
          <rPr>
            <sz val="9"/>
            <color indexed="81"/>
            <rFont val="Tahoma"/>
            <family val="2"/>
          </rPr>
          <t>I</t>
        </r>
        <r>
          <rPr>
            <sz val="9"/>
            <color indexed="81"/>
            <rFont val="Arial"/>
            <family val="2"/>
          </rPr>
          <t>f/(Ef/2)  ("Ef" is diagonal between opposite corners)
For e/Df &gt; 0.1221:
  P(max) = L*</t>
        </r>
        <r>
          <rPr>
            <sz val="9"/>
            <color indexed="81"/>
            <rFont val="Symbol"/>
            <family val="1"/>
            <charset val="2"/>
          </rPr>
          <t>S</t>
        </r>
        <r>
          <rPr>
            <sz val="9"/>
            <color indexed="81"/>
            <rFont val="Arial"/>
            <family val="2"/>
          </rPr>
          <t xml:space="preserve">P/A, where "L" is from PIP STE03350 Figure B
  P(min) = 0
The value of e/Df = 0.1221 is determined as follows:
  set </t>
        </r>
        <r>
          <rPr>
            <sz val="9"/>
            <color indexed="81"/>
            <rFont val="Symbol"/>
            <family val="1"/>
            <charset val="2"/>
          </rPr>
          <t>S</t>
        </r>
        <r>
          <rPr>
            <sz val="9"/>
            <color indexed="81"/>
            <rFont val="Arial"/>
            <family val="2"/>
          </rPr>
          <t xml:space="preserve">P/Af - </t>
        </r>
        <r>
          <rPr>
            <sz val="9"/>
            <color indexed="81"/>
            <rFont val="Symbol"/>
            <family val="1"/>
            <charset val="2"/>
          </rPr>
          <t>S</t>
        </r>
        <r>
          <rPr>
            <sz val="9"/>
            <color indexed="81"/>
            <rFont val="Arial"/>
            <family val="2"/>
          </rPr>
          <t xml:space="preserve">P*e/Sf = 0 and solve for "e" in terms of "Df"
         where: "Af" is expressed in terms of "Df" and,
                      Sf = </t>
        </r>
        <r>
          <rPr>
            <sz val="9"/>
            <color indexed="81"/>
            <rFont val="Tahoma"/>
            <family val="2"/>
          </rPr>
          <t>I</t>
        </r>
        <r>
          <rPr>
            <sz val="9"/>
            <color indexed="81"/>
            <rFont val="Arial"/>
            <family val="2"/>
          </rPr>
          <t>f/(Ef/2), with "</t>
        </r>
        <r>
          <rPr>
            <sz val="9"/>
            <color indexed="81"/>
            <rFont val="Tahoma"/>
            <family val="2"/>
          </rPr>
          <t>I</t>
        </r>
        <r>
          <rPr>
            <sz val="9"/>
            <color indexed="81"/>
            <rFont val="Arial"/>
            <family val="2"/>
          </rPr>
          <t>f" and "Ef" espressed in terms of "Df"</t>
        </r>
      </text>
    </comment>
    <comment ref="C83" authorId="2" shapeId="0" xr:uid="{29554ECA-3A5D-48DA-84BB-BF1327136485}">
      <text>
        <r>
          <rPr>
            <sz val="9"/>
            <color indexed="81"/>
            <rFont val="Arial"/>
            <family val="2"/>
          </rPr>
          <t xml:space="preserve">For overturning about axis through flat sides of octagonal footing, the controlling value of the eccentricity ratio, e/Df = 0.1321, is the ratio of e/Df for which the octagonal footing base is still in full bearing, with the maximum bearing pressure at one footing flat side and the minimum pressure = 0, at the opposite footing flat side.
For e/Df &lt;= 0.1321:  
  P(max) = </t>
        </r>
        <r>
          <rPr>
            <sz val="9"/>
            <color indexed="81"/>
            <rFont val="Symbol"/>
            <family val="1"/>
            <charset val="2"/>
          </rPr>
          <t>S</t>
        </r>
        <r>
          <rPr>
            <sz val="9"/>
            <color indexed="81"/>
            <rFont val="Arial"/>
            <family val="2"/>
          </rPr>
          <t>P/Af+</t>
        </r>
        <r>
          <rPr>
            <sz val="9"/>
            <color indexed="81"/>
            <rFont val="Symbol"/>
            <family val="1"/>
            <charset val="2"/>
          </rPr>
          <t>S</t>
        </r>
        <r>
          <rPr>
            <sz val="9"/>
            <color indexed="81"/>
            <rFont val="Arial"/>
            <family val="2"/>
          </rPr>
          <t xml:space="preserve">M/Sf
  P(min) = </t>
        </r>
        <r>
          <rPr>
            <sz val="9"/>
            <color indexed="81"/>
            <rFont val="Symbol"/>
            <family val="1"/>
            <charset val="2"/>
          </rPr>
          <t>S</t>
        </r>
        <r>
          <rPr>
            <sz val="9"/>
            <color indexed="81"/>
            <rFont val="Arial"/>
            <family val="2"/>
          </rPr>
          <t>P/Af-</t>
        </r>
        <r>
          <rPr>
            <sz val="9"/>
            <color indexed="81"/>
            <rFont val="Symbol"/>
            <family val="1"/>
            <charset val="2"/>
          </rPr>
          <t>S</t>
        </r>
        <r>
          <rPr>
            <sz val="9"/>
            <color indexed="81"/>
            <rFont val="Arial"/>
            <family val="2"/>
          </rPr>
          <t>M/Sf
    where: Sf = If/(Df/2)
For e/Df &gt; 0.1321:
  P(max) = L*</t>
        </r>
        <r>
          <rPr>
            <sz val="9"/>
            <color indexed="81"/>
            <rFont val="Symbol"/>
            <family val="1"/>
            <charset val="2"/>
          </rPr>
          <t>S</t>
        </r>
        <r>
          <rPr>
            <sz val="9"/>
            <color indexed="81"/>
            <rFont val="Arial"/>
            <family val="2"/>
          </rPr>
          <t xml:space="preserve">P/A, where "L" is from PIP STE03350 Figure B
  P(min) = 0
The value of e/Df = 0.1321 is determined as follows:
  set </t>
        </r>
        <r>
          <rPr>
            <sz val="9"/>
            <color indexed="81"/>
            <rFont val="Symbol"/>
            <family val="1"/>
            <charset val="2"/>
          </rPr>
          <t>S</t>
        </r>
        <r>
          <rPr>
            <sz val="9"/>
            <color indexed="81"/>
            <rFont val="Arial"/>
            <family val="2"/>
          </rPr>
          <t xml:space="preserve">P/Af - </t>
        </r>
        <r>
          <rPr>
            <sz val="9"/>
            <color indexed="81"/>
            <rFont val="Symbol"/>
            <family val="1"/>
            <charset val="2"/>
          </rPr>
          <t>S</t>
        </r>
        <r>
          <rPr>
            <sz val="9"/>
            <color indexed="81"/>
            <rFont val="Arial"/>
            <family val="2"/>
          </rPr>
          <t xml:space="preserve">P*e/Sf = 0 and solve for "e" in terms of "Df"
         where: "Af" is expressed in terms of "Df" and,
                      Sf = </t>
        </r>
        <r>
          <rPr>
            <sz val="9"/>
            <color indexed="81"/>
            <rFont val="Tahoma"/>
            <family val="2"/>
          </rPr>
          <t>I</t>
        </r>
        <r>
          <rPr>
            <sz val="9"/>
            <color indexed="81"/>
            <rFont val="Arial"/>
            <family val="2"/>
          </rPr>
          <t>f/(Df/2), with "</t>
        </r>
        <r>
          <rPr>
            <sz val="9"/>
            <color indexed="81"/>
            <rFont val="Tahoma"/>
            <family val="2"/>
          </rPr>
          <t>I</t>
        </r>
        <r>
          <rPr>
            <sz val="9"/>
            <color indexed="81"/>
            <rFont val="Arial"/>
            <family val="2"/>
          </rPr>
          <t>f" espressed in terms of "Df"</t>
        </r>
      </text>
    </comment>
    <comment ref="C84" authorId="2" shapeId="0" xr:uid="{6CAF580D-72C9-460C-B40C-7AB8F5D977D2}">
      <text>
        <r>
          <rPr>
            <sz val="9"/>
            <color indexed="81"/>
            <rFont val="Arial"/>
            <family val="2"/>
          </rPr>
          <t xml:space="preserve">For overturning about axis through flat sides of octagonal footing, the controlling value of the eccentricity ratio, e/Df = 0.1321, is the ratio of e/Df for which the octagonal footing base is still in full bearing, with the maximum bearing pressure at one footing flat side and the minimum pressure = 0, at the opposite footing flat side.
For e/Df &lt;= 0.1321:  
  P(max) = </t>
        </r>
        <r>
          <rPr>
            <sz val="9"/>
            <color indexed="81"/>
            <rFont val="Symbol"/>
            <family val="1"/>
            <charset val="2"/>
          </rPr>
          <t>S</t>
        </r>
        <r>
          <rPr>
            <sz val="9"/>
            <color indexed="81"/>
            <rFont val="Arial"/>
            <family val="2"/>
          </rPr>
          <t>P/Af+</t>
        </r>
        <r>
          <rPr>
            <sz val="9"/>
            <color indexed="81"/>
            <rFont val="Symbol"/>
            <family val="1"/>
            <charset val="2"/>
          </rPr>
          <t>S</t>
        </r>
        <r>
          <rPr>
            <sz val="9"/>
            <color indexed="81"/>
            <rFont val="Arial"/>
            <family val="2"/>
          </rPr>
          <t xml:space="preserve">M/Sf
  P(min) = </t>
        </r>
        <r>
          <rPr>
            <sz val="9"/>
            <color indexed="81"/>
            <rFont val="Symbol"/>
            <family val="1"/>
            <charset val="2"/>
          </rPr>
          <t>S</t>
        </r>
        <r>
          <rPr>
            <sz val="9"/>
            <color indexed="81"/>
            <rFont val="Arial"/>
            <family val="2"/>
          </rPr>
          <t>P/Af-</t>
        </r>
        <r>
          <rPr>
            <sz val="9"/>
            <color indexed="81"/>
            <rFont val="Symbol"/>
            <family val="1"/>
            <charset val="2"/>
          </rPr>
          <t>S</t>
        </r>
        <r>
          <rPr>
            <sz val="9"/>
            <color indexed="81"/>
            <rFont val="Arial"/>
            <family val="2"/>
          </rPr>
          <t>M/Sf
    where: Sf = If/(Df/2)
For e/Df &gt; 0.1321:
  P(max) = L*</t>
        </r>
        <r>
          <rPr>
            <sz val="9"/>
            <color indexed="81"/>
            <rFont val="Symbol"/>
            <family val="1"/>
            <charset val="2"/>
          </rPr>
          <t>S</t>
        </r>
        <r>
          <rPr>
            <sz val="9"/>
            <color indexed="81"/>
            <rFont val="Arial"/>
            <family val="2"/>
          </rPr>
          <t xml:space="preserve">P/A, where "L" is from PIP STE03350 Figure B
  P(min) = 0
The value of e/Df = 0.1321 is determined as follows:
  set </t>
        </r>
        <r>
          <rPr>
            <sz val="9"/>
            <color indexed="81"/>
            <rFont val="Symbol"/>
            <family val="1"/>
            <charset val="2"/>
          </rPr>
          <t>S</t>
        </r>
        <r>
          <rPr>
            <sz val="9"/>
            <color indexed="81"/>
            <rFont val="Arial"/>
            <family val="2"/>
          </rPr>
          <t xml:space="preserve">P/Af - </t>
        </r>
        <r>
          <rPr>
            <sz val="9"/>
            <color indexed="81"/>
            <rFont val="Symbol"/>
            <family val="1"/>
            <charset val="2"/>
          </rPr>
          <t>S</t>
        </r>
        <r>
          <rPr>
            <sz val="9"/>
            <color indexed="81"/>
            <rFont val="Arial"/>
            <family val="2"/>
          </rPr>
          <t xml:space="preserve">P*e/Sf = 0 and solve for "e" in terms of "Df"
         where: "Af" is expressed in terms of "Df" and,
                      Sf = </t>
        </r>
        <r>
          <rPr>
            <sz val="9"/>
            <color indexed="81"/>
            <rFont val="Tahoma"/>
            <family val="2"/>
          </rPr>
          <t>I</t>
        </r>
        <r>
          <rPr>
            <sz val="9"/>
            <color indexed="81"/>
            <rFont val="Arial"/>
            <family val="2"/>
          </rPr>
          <t>f/(Df/2), with "</t>
        </r>
        <r>
          <rPr>
            <sz val="9"/>
            <color indexed="81"/>
            <rFont val="Tahoma"/>
            <family val="2"/>
          </rPr>
          <t>I</t>
        </r>
        <r>
          <rPr>
            <sz val="9"/>
            <color indexed="81"/>
            <rFont val="Arial"/>
            <family val="2"/>
          </rPr>
          <t>f" espressed in terms of "Df"</t>
        </r>
      </text>
    </comment>
  </commentList>
</comments>
</file>

<file path=xl/sharedStrings.xml><?xml version="1.0" encoding="utf-8"?>
<sst xmlns="http://schemas.openxmlformats.org/spreadsheetml/2006/main" count="414" uniqueCount="241">
  <si>
    <t>Overturning</t>
  </si>
  <si>
    <t>Sliding</t>
  </si>
  <si>
    <t>Pass. Press. Coef., Kp =</t>
  </si>
  <si>
    <t>Sliding Check:</t>
  </si>
  <si>
    <t>Summary of Results:</t>
  </si>
  <si>
    <t>Max. Net Soil Pressure:</t>
  </si>
  <si>
    <t>Bearing Area:</t>
  </si>
  <si>
    <t>(continued)</t>
  </si>
  <si>
    <t>Kern Distx:</t>
  </si>
  <si>
    <t>Kern Disty:</t>
  </si>
  <si>
    <t>(When resultant of loads falls within "Kern",</t>
  </si>
  <si>
    <t>entire footing base is in bearing.)</t>
  </si>
  <si>
    <t>Job Name:</t>
  </si>
  <si>
    <t>Subject:</t>
  </si>
  <si>
    <t>Job Number:</t>
  </si>
  <si>
    <t>Originator:</t>
  </si>
  <si>
    <t>Checker:</t>
  </si>
  <si>
    <t>Input Data:</t>
  </si>
  <si>
    <t>Results:</t>
  </si>
  <si>
    <r>
      <t xml:space="preserve">Soil Unit Wt., </t>
    </r>
    <r>
      <rPr>
        <sz val="10"/>
        <color indexed="8"/>
        <rFont val="Symbol"/>
        <family val="1"/>
        <charset val="2"/>
      </rPr>
      <t>g</t>
    </r>
    <r>
      <rPr>
        <sz val="10"/>
        <color indexed="8"/>
        <rFont val="Arial"/>
        <family val="2"/>
      </rPr>
      <t>s =</t>
    </r>
  </si>
  <si>
    <t>Uniform Surcharge, Q =</t>
  </si>
  <si>
    <t>Fdn. Xc:</t>
  </si>
  <si>
    <t>Fdn. Yc:</t>
  </si>
  <si>
    <r>
      <t xml:space="preserve">Concrete Unit Wt., </t>
    </r>
    <r>
      <rPr>
        <sz val="10"/>
        <rFont val="Symbol"/>
        <family val="1"/>
        <charset val="2"/>
      </rPr>
      <t>g</t>
    </r>
    <r>
      <rPr>
        <sz val="10"/>
        <rFont val="Arial"/>
        <family val="2"/>
      </rPr>
      <t>c =</t>
    </r>
  </si>
  <si>
    <t>Overturning Check:</t>
  </si>
  <si>
    <t>Total Resultant Load and Eccentricities:</t>
  </si>
  <si>
    <t>%</t>
  </si>
  <si>
    <t>Index</t>
  </si>
  <si>
    <t>Plot Scale Factors</t>
  </si>
  <si>
    <t>X-axis</t>
  </si>
  <si>
    <t>Y-axis</t>
  </si>
  <si>
    <t>Plot Scale Factor #1:</t>
  </si>
  <si>
    <t>Plot Scale Factor #2:</t>
  </si>
  <si>
    <t>Plot Scale Factor #3:</t>
  </si>
  <si>
    <t>Plot Scale Factor #4:</t>
  </si>
  <si>
    <t>%Brg. Area =</t>
  </si>
  <si>
    <r>
      <t>P</t>
    </r>
    <r>
      <rPr>
        <sz val="8"/>
        <color indexed="8"/>
        <rFont val="Arial"/>
        <family val="2"/>
      </rPr>
      <t>max</t>
    </r>
    <r>
      <rPr>
        <sz val="10"/>
        <color indexed="8"/>
        <rFont val="Arial"/>
        <family val="2"/>
      </rPr>
      <t>(net) =</t>
    </r>
  </si>
  <si>
    <t>Footing Data:</t>
  </si>
  <si>
    <t>L</t>
  </si>
  <si>
    <t xml:space="preserve">      Axes Lengths Ratio:</t>
  </si>
  <si>
    <t>X/Y =</t>
  </si>
  <si>
    <r>
      <t xml:space="preserve">Coef. of Base Friction, </t>
    </r>
    <r>
      <rPr>
        <sz val="10"/>
        <color indexed="8"/>
        <rFont val="Symbol"/>
        <family val="1"/>
        <charset val="2"/>
      </rPr>
      <t>m</t>
    </r>
    <r>
      <rPr>
        <sz val="10"/>
        <color indexed="8"/>
        <rFont val="Arial"/>
        <family val="2"/>
      </rPr>
      <t xml:space="preserve"> =</t>
    </r>
  </si>
  <si>
    <r>
      <t>Note:</t>
    </r>
    <r>
      <rPr>
        <sz val="10"/>
        <rFont val="Arial"/>
        <family val="2"/>
      </rPr>
      <t xml:space="preserve">                  denotes "Kern" area of footing base</t>
    </r>
  </si>
  <si>
    <t>OCTAGONAL SPREAD FOOTING ANALYSIS</t>
  </si>
  <si>
    <t>CALCULATIONS (for coefficients "K" and "L"):</t>
  </si>
  <si>
    <t>For Assumed Rigid Footing Base with Octagonal Pier</t>
  </si>
  <si>
    <t>Supporting a Vertical Round Tank, Vessel, or Stack</t>
  </si>
  <si>
    <t>Reference:</t>
  </si>
  <si>
    <t>Process Industry Practices - Structural Standard</t>
  </si>
  <si>
    <t>PIP STE03350 - "Vertical Vessel Foundation Design Guide" (2007) (Figure B on page 15)</t>
  </si>
  <si>
    <t>Plotting Coordinates (for Octagonal Footing, Kern Area, and Load Resultant:</t>
  </si>
  <si>
    <t>For Overturning about Axis through Corners of Octagon Footing</t>
  </si>
  <si>
    <t>For Overturning about Axis through Flat Sides of Octagon Footing</t>
  </si>
  <si>
    <t>e/Df</t>
  </si>
  <si>
    <t>K</t>
  </si>
  <si>
    <t>K by Eqn.</t>
  </si>
  <si>
    <t>L by Eqn.</t>
  </si>
  <si>
    <t>Fdn. Corners x:</t>
  </si>
  <si>
    <t>Fdn. Corners y:</t>
  </si>
  <si>
    <t>Ftg. Base Length, Df =</t>
  </si>
  <si>
    <t>Pier Corners x:</t>
  </si>
  <si>
    <t>Ftg. Base Thickness, Tf =</t>
  </si>
  <si>
    <t>Pier Corners y:</t>
  </si>
  <si>
    <t>Oct. Pier Length, Dp =</t>
  </si>
  <si>
    <t>Eccentricity, ex:</t>
  </si>
  <si>
    <t>Oct. Pier Height, hp =</t>
  </si>
  <si>
    <t>Eccentricity, ey:</t>
  </si>
  <si>
    <t>Soil Depth, Ds =</t>
  </si>
  <si>
    <t>Loading Data:</t>
  </si>
  <si>
    <t>Applied Vert. Load, P =</t>
  </si>
  <si>
    <t>Applied Horiz. Load, H =</t>
  </si>
  <si>
    <t>Applied Moment, M =</t>
  </si>
  <si>
    <t>Footing Base Properties:</t>
  </si>
  <si>
    <t xml:space="preserve"> Dimension., Bf =</t>
  </si>
  <si>
    <t>Bf = Cf*SIN(45) = 0.2928932*Df</t>
  </si>
  <si>
    <t>Footing Flat Side, Cf =</t>
  </si>
  <si>
    <t>Cf = TAN(22.5)*Df = 0.4142136*Df</t>
  </si>
  <si>
    <t>Footing Diagonal, Ef =</t>
  </si>
  <si>
    <t>Ef = Df/COS(22.5) = 1.082392*Df</t>
  </si>
  <si>
    <t>Footing Base Area, Af =</t>
  </si>
  <si>
    <t>Af = (1-2*(TAN(22.5)*SIN(45))^2)*Df^2 = 0.8284272*Df^2</t>
  </si>
  <si>
    <t>Footing Volume, Vf =</t>
  </si>
  <si>
    <t>Vf = Af*Tf</t>
  </si>
  <si>
    <r>
      <t xml:space="preserve">Footing Inertia, </t>
    </r>
    <r>
      <rPr>
        <sz val="10"/>
        <color indexed="8"/>
        <rFont val="Tahoma"/>
        <family val="2"/>
      </rPr>
      <t>I</t>
    </r>
    <r>
      <rPr>
        <sz val="10"/>
        <color indexed="8"/>
        <rFont val="Arial"/>
        <family val="2"/>
      </rPr>
      <t>f =</t>
    </r>
  </si>
  <si>
    <r>
      <rPr>
        <sz val="10"/>
        <color indexed="8"/>
        <rFont val="Tahoma"/>
        <family val="2"/>
      </rPr>
      <t>I</t>
    </r>
    <r>
      <rPr>
        <sz val="10"/>
        <color indexed="8"/>
        <rFont val="Arial"/>
        <family val="2"/>
      </rPr>
      <t>f = 0.054738*Df^4</t>
    </r>
  </si>
  <si>
    <t>Pier Properties:</t>
  </si>
  <si>
    <t xml:space="preserve"> Dimension., Bp =</t>
  </si>
  <si>
    <t>Bp = Cp*SIN(45) = 0.2928932*Dp</t>
  </si>
  <si>
    <t>Pier Flat Side, Cp =</t>
  </si>
  <si>
    <t>Cp = TAN(22.5)*Dp = 0.4142136*Dp</t>
  </si>
  <si>
    <t>Pier Diagonal, Ep =</t>
  </si>
  <si>
    <t>Ep = Dp/COS(22.5) = 1.082392*Dp</t>
  </si>
  <si>
    <t>Pier Area, Ap =</t>
  </si>
  <si>
    <t>Ap = (1-2*(TAN(22.5)*SIN(45))^2)*Dp^2 = 0.8284272*Dp^2</t>
  </si>
  <si>
    <t>Pier Volume, Vp =</t>
  </si>
  <si>
    <t>Vp = Ap*hp</t>
  </si>
  <si>
    <t>Pier, Surcharge, Soil, and Footing Base Weights:</t>
  </si>
  <si>
    <t>Pier Weight, Wp =</t>
  </si>
  <si>
    <r>
      <t>Wp = Vp*</t>
    </r>
    <r>
      <rPr>
        <sz val="10"/>
        <rFont val="Symbol"/>
        <family val="1"/>
        <charset val="2"/>
      </rPr>
      <t>g</t>
    </r>
    <r>
      <rPr>
        <sz val="10"/>
        <rFont val="Arial"/>
        <family val="2"/>
      </rPr>
      <t>c</t>
    </r>
  </si>
  <si>
    <t>Surcharge Load, Wq =</t>
  </si>
  <si>
    <t>Wq = (Af-Ap)*Q</t>
  </si>
  <si>
    <t>Soil Weight, Ws =</t>
  </si>
  <si>
    <r>
      <t>Ws = (Af-Ap)*Ds*</t>
    </r>
    <r>
      <rPr>
        <sz val="10"/>
        <rFont val="Symbol"/>
        <family val="1"/>
        <charset val="2"/>
      </rPr>
      <t>g</t>
    </r>
    <r>
      <rPr>
        <sz val="10"/>
        <rFont val="Arial"/>
        <family val="2"/>
      </rPr>
      <t>s</t>
    </r>
  </si>
  <si>
    <t>Ftg. Base Weight, Wf =</t>
  </si>
  <si>
    <r>
      <t>Wf = Vf*</t>
    </r>
    <r>
      <rPr>
        <sz val="10"/>
        <rFont val="Symbol"/>
        <family val="1"/>
        <charset val="2"/>
      </rPr>
      <t>g</t>
    </r>
    <r>
      <rPr>
        <sz val="10"/>
        <rFont val="Arial"/>
        <family val="2"/>
      </rPr>
      <t>c</t>
    </r>
  </si>
  <si>
    <r>
      <t xml:space="preserve">Total Vert. Load, </t>
    </r>
    <r>
      <rPr>
        <sz val="10"/>
        <color indexed="8"/>
        <rFont val="Symbol"/>
        <family val="1"/>
        <charset val="2"/>
      </rPr>
      <t>S</t>
    </r>
    <r>
      <rPr>
        <sz val="10"/>
        <color indexed="8"/>
        <rFont val="Arial"/>
        <family val="2"/>
      </rPr>
      <t>P =</t>
    </r>
  </si>
  <si>
    <r>
      <rPr>
        <sz val="10"/>
        <rFont val="Symbol"/>
        <family val="1"/>
        <charset val="2"/>
      </rPr>
      <t>S</t>
    </r>
    <r>
      <rPr>
        <sz val="10"/>
        <rFont val="Arial"/>
        <family val="2"/>
      </rPr>
      <t>P = P+Wp+Wq+Ws+Wf</t>
    </r>
  </si>
  <si>
    <r>
      <t xml:space="preserve">Total Moment, </t>
    </r>
    <r>
      <rPr>
        <sz val="10"/>
        <color indexed="8"/>
        <rFont val="Symbol"/>
        <family val="1"/>
        <charset val="2"/>
      </rPr>
      <t>S</t>
    </r>
    <r>
      <rPr>
        <sz val="10"/>
        <color indexed="8"/>
        <rFont val="Arial"/>
        <family val="2"/>
      </rPr>
      <t>M =</t>
    </r>
  </si>
  <si>
    <r>
      <rPr>
        <sz val="10"/>
        <rFont val="Symbol"/>
        <family val="1"/>
        <charset val="2"/>
      </rPr>
      <t>S</t>
    </r>
    <r>
      <rPr>
        <sz val="10"/>
        <rFont val="Arial"/>
        <family val="2"/>
      </rPr>
      <t>M = M+H*(hp+Tf)</t>
    </r>
  </si>
  <si>
    <t>Eccentricity, e =</t>
  </si>
  <si>
    <r>
      <t xml:space="preserve">e = </t>
    </r>
    <r>
      <rPr>
        <sz val="10"/>
        <rFont val="Symbol"/>
        <family val="1"/>
        <charset val="2"/>
      </rPr>
      <t>S</t>
    </r>
    <r>
      <rPr>
        <sz val="10"/>
        <rFont val="Arial"/>
        <family val="2"/>
      </rPr>
      <t>M/</t>
    </r>
    <r>
      <rPr>
        <sz val="10"/>
        <rFont val="Symbol"/>
        <family val="1"/>
        <charset val="2"/>
      </rPr>
      <t>S</t>
    </r>
    <r>
      <rPr>
        <sz val="10"/>
        <rFont val="Arial"/>
        <family val="2"/>
      </rPr>
      <t>P</t>
    </r>
  </si>
  <si>
    <t>Interpolate for Value of K from Figure B:</t>
  </si>
  <si>
    <t>Bearing Pressure for Overturning about Axis through Corners of Octagon:</t>
  </si>
  <si>
    <t>Section Modulus, Sf =</t>
  </si>
  <si>
    <r>
      <t xml:space="preserve">Sf = </t>
    </r>
    <r>
      <rPr>
        <sz val="10"/>
        <rFont val="Tahoma"/>
        <family val="2"/>
      </rPr>
      <t>I</t>
    </r>
    <r>
      <rPr>
        <sz val="10"/>
        <rFont val="Arial"/>
        <family val="2"/>
      </rPr>
      <t>f/(Ef/2)</t>
    </r>
  </si>
  <si>
    <t>for e/Df =</t>
  </si>
  <si>
    <t>= K</t>
  </si>
  <si>
    <t>Brg. Distance Coef., K =</t>
  </si>
  <si>
    <t>K = interpolated from PIP STE03350 Figure B &lt;= 0.65</t>
  </si>
  <si>
    <t>Interpolate for Value of L from Figure B:</t>
  </si>
  <si>
    <t>%Brg. Area = Bearing Area/Af</t>
  </si>
  <si>
    <t>Bearing Coef., L =</t>
  </si>
  <si>
    <t>L = interpolated from PIP STE03350 Figure B &lt;= 7.0</t>
  </si>
  <si>
    <t>= L</t>
  </si>
  <si>
    <t>Bearing Pressure for Overturning about Axis through Flat Sides of Octagon:</t>
  </si>
  <si>
    <r>
      <t xml:space="preserve">Sf = </t>
    </r>
    <r>
      <rPr>
        <sz val="10"/>
        <rFont val="Tahoma"/>
        <family val="2"/>
      </rPr>
      <t>I</t>
    </r>
    <r>
      <rPr>
        <sz val="10"/>
        <rFont val="Arial"/>
        <family val="2"/>
      </rPr>
      <t>f/(Df/2)</t>
    </r>
  </si>
  <si>
    <t>K = interpolated from PIP STE03350 Figure B &lt;= 0.62</t>
  </si>
  <si>
    <t>L = interpolated from PIP STE03350 Figure B &lt;= 6.5</t>
  </si>
  <si>
    <t>(Note: using flat side to flat side footing dimension, Df)</t>
  </si>
  <si>
    <t>Mr =</t>
  </si>
  <si>
    <r>
      <rPr>
        <sz val="10"/>
        <color indexed="8"/>
        <rFont val="Arial"/>
        <family val="2"/>
      </rPr>
      <t>Mr = (</t>
    </r>
    <r>
      <rPr>
        <sz val="10"/>
        <color indexed="8"/>
        <rFont val="Symbol"/>
        <family val="1"/>
        <charset val="2"/>
      </rPr>
      <t>S</t>
    </r>
    <r>
      <rPr>
        <sz val="10"/>
        <color indexed="8"/>
        <rFont val="Arial"/>
        <family val="2"/>
      </rPr>
      <t>P-Wq)*(Df/2)   (surcharge load is not included)</t>
    </r>
  </si>
  <si>
    <t>Mo =</t>
  </si>
  <si>
    <r>
      <rPr>
        <sz val="10"/>
        <color indexed="8"/>
        <rFont val="Arial"/>
        <family val="2"/>
      </rPr>
      <t xml:space="preserve">Mo = </t>
    </r>
    <r>
      <rPr>
        <sz val="10"/>
        <color indexed="8"/>
        <rFont val="Symbol"/>
        <family val="1"/>
        <charset val="2"/>
      </rPr>
      <t>S</t>
    </r>
    <r>
      <rPr>
        <sz val="10"/>
        <color indexed="8"/>
        <rFont val="Arial"/>
        <family val="2"/>
      </rPr>
      <t>P*e</t>
    </r>
  </si>
  <si>
    <t>FS(ot) =</t>
  </si>
  <si>
    <r>
      <t xml:space="preserve">FS(ot) = Mr/Mo = </t>
    </r>
    <r>
      <rPr>
        <sz val="10"/>
        <color indexed="8"/>
        <rFont val="Symbol"/>
        <family val="1"/>
        <charset val="2"/>
      </rPr>
      <t>S</t>
    </r>
    <r>
      <rPr>
        <sz val="10"/>
        <color indexed="8"/>
        <rFont val="Arial"/>
        <family val="2"/>
      </rPr>
      <t>P*(Df/2)/(</t>
    </r>
    <r>
      <rPr>
        <sz val="10"/>
        <color indexed="8"/>
        <rFont val="Symbol"/>
        <family val="1"/>
        <charset val="2"/>
      </rPr>
      <t>S</t>
    </r>
    <r>
      <rPr>
        <sz val="10"/>
        <color indexed="8"/>
        <rFont val="Arial"/>
        <family val="2"/>
      </rPr>
      <t>P*e) = Df/(2*e)</t>
    </r>
  </si>
  <si>
    <t>Passive Resist., PR =</t>
  </si>
  <si>
    <r>
      <t>PR = (1/2*Kp*</t>
    </r>
    <r>
      <rPr>
        <sz val="10"/>
        <rFont val="Symbol"/>
        <family val="1"/>
        <charset val="2"/>
      </rPr>
      <t>g</t>
    </r>
    <r>
      <rPr>
        <sz val="10"/>
        <rFont val="Arial"/>
        <family val="2"/>
      </rPr>
      <t>s*Ds^2)*Dp+(Tf*(Kp*</t>
    </r>
    <r>
      <rPr>
        <sz val="10"/>
        <rFont val="Symbol"/>
        <family val="1"/>
        <charset val="2"/>
      </rPr>
      <t>g</t>
    </r>
    <r>
      <rPr>
        <sz val="10"/>
        <rFont val="Arial"/>
        <family val="2"/>
      </rPr>
      <t>s*Ds+Kp*</t>
    </r>
    <r>
      <rPr>
        <sz val="10"/>
        <rFont val="Symbol"/>
        <family val="1"/>
        <charset val="2"/>
      </rPr>
      <t>g</t>
    </r>
    <r>
      <rPr>
        <sz val="10"/>
        <rFont val="Arial"/>
        <family val="2"/>
      </rPr>
      <t>s*(Ds+Tf))/2)*Df</t>
    </r>
  </si>
  <si>
    <t>Frict. Resist., FR =</t>
  </si>
  <si>
    <r>
      <t>FR = (</t>
    </r>
    <r>
      <rPr>
        <sz val="10"/>
        <rFont val="Symbol"/>
        <family val="1"/>
        <charset val="2"/>
      </rPr>
      <t>S</t>
    </r>
    <r>
      <rPr>
        <sz val="10"/>
        <rFont val="Arial"/>
        <family val="2"/>
      </rPr>
      <t>P-Wq)*</t>
    </r>
    <r>
      <rPr>
        <sz val="10"/>
        <rFont val="Symbol"/>
        <family val="1"/>
        <charset val="2"/>
      </rPr>
      <t>m</t>
    </r>
    <r>
      <rPr>
        <sz val="10"/>
        <rFont val="Arial"/>
        <family val="2"/>
      </rPr>
      <t xml:space="preserve">  (surcharge load is not included)</t>
    </r>
  </si>
  <si>
    <t>FS(slid) =</t>
  </si>
  <si>
    <t>Process Industry Practices</t>
  </si>
  <si>
    <t>PIP STE03350 - "Vertical Vessel Foundation Design Guide" (2007) (page 15)</t>
  </si>
  <si>
    <t>(Note: Refer to PIP Document STE03350</t>
  </si>
  <si>
    <t>for properties of octagonal shape.)</t>
  </si>
  <si>
    <t>Gross Bearing, P(max) =</t>
  </si>
  <si>
    <t>Gross Bearing, P(min) =</t>
  </si>
  <si>
    <r>
      <t>Net Press., P</t>
    </r>
    <r>
      <rPr>
        <sz val="8"/>
        <rFont val="Arial"/>
        <family val="2"/>
      </rPr>
      <t>max</t>
    </r>
    <r>
      <rPr>
        <sz val="10"/>
        <rFont val="Arial"/>
        <family val="2"/>
      </rPr>
      <t>(net) =</t>
    </r>
  </si>
  <si>
    <r>
      <t>P</t>
    </r>
    <r>
      <rPr>
        <sz val="8"/>
        <color indexed="8"/>
        <rFont val="Arial"/>
        <family val="2"/>
      </rPr>
      <t>max</t>
    </r>
    <r>
      <rPr>
        <sz val="10"/>
        <color indexed="8"/>
        <rFont val="Arial"/>
        <family val="2"/>
      </rPr>
      <t>(net) = P</t>
    </r>
    <r>
      <rPr>
        <sz val="8"/>
        <color indexed="8"/>
        <rFont val="Arial"/>
        <family val="2"/>
      </rPr>
      <t>max</t>
    </r>
    <r>
      <rPr>
        <sz val="10"/>
        <color indexed="8"/>
        <rFont val="Arial"/>
        <family val="2"/>
      </rPr>
      <t>(gross)-(Ds+Tf)*</t>
    </r>
    <r>
      <rPr>
        <sz val="10"/>
        <color indexed="8"/>
        <rFont val="Symbol"/>
        <family val="1"/>
        <charset val="2"/>
      </rPr>
      <t>g</t>
    </r>
    <r>
      <rPr>
        <sz val="10"/>
        <color indexed="8"/>
        <rFont val="Arial"/>
        <family val="2"/>
      </rPr>
      <t>s</t>
    </r>
  </si>
  <si>
    <t>Max. Gross Soil Pressure:</t>
  </si>
  <si>
    <r>
      <t>P</t>
    </r>
    <r>
      <rPr>
        <sz val="8"/>
        <color indexed="8"/>
        <rFont val="Arial"/>
        <family val="2"/>
      </rPr>
      <t>max</t>
    </r>
    <r>
      <rPr>
        <sz val="10"/>
        <color indexed="8"/>
        <rFont val="Arial"/>
        <family val="2"/>
      </rPr>
      <t>(gross) =</t>
    </r>
  </si>
  <si>
    <t>FS(slid) = (PR+FR)/H</t>
  </si>
  <si>
    <t>Eccentricity Ratio, e/Df =</t>
  </si>
  <si>
    <t>e/Df &lt;= 0.350 (from PIP STE03350 Figure B)</t>
  </si>
  <si>
    <t>K*Df =</t>
  </si>
  <si>
    <t>K*Df =portion of footing not in bearing (unloaded)</t>
  </si>
  <si>
    <r>
      <t xml:space="preserve">if e/Df &lt;= 0.1221, P(max) = </t>
    </r>
    <r>
      <rPr>
        <sz val="10"/>
        <color indexed="8"/>
        <rFont val="Symbol"/>
        <family val="1"/>
        <charset val="2"/>
      </rPr>
      <t>S</t>
    </r>
    <r>
      <rPr>
        <sz val="10"/>
        <color indexed="8"/>
        <rFont val="Arial"/>
        <family val="2"/>
      </rPr>
      <t>P/A+</t>
    </r>
    <r>
      <rPr>
        <sz val="10"/>
        <color indexed="8"/>
        <rFont val="Symbol"/>
        <family val="1"/>
        <charset val="2"/>
      </rPr>
      <t>S</t>
    </r>
    <r>
      <rPr>
        <sz val="10"/>
        <color indexed="8"/>
        <rFont val="Arial"/>
        <family val="2"/>
      </rPr>
      <t>M/Sf, else P(max) = L*</t>
    </r>
    <r>
      <rPr>
        <sz val="10"/>
        <color indexed="8"/>
        <rFont val="Symbol"/>
        <family val="1"/>
        <charset val="2"/>
      </rPr>
      <t>S</t>
    </r>
    <r>
      <rPr>
        <sz val="10"/>
        <color indexed="8"/>
        <rFont val="Arial"/>
        <family val="2"/>
      </rPr>
      <t>P/A</t>
    </r>
  </si>
  <si>
    <r>
      <t xml:space="preserve">if e/Df &lt;= 0.1221, P(min) = </t>
    </r>
    <r>
      <rPr>
        <sz val="10"/>
        <color indexed="8"/>
        <rFont val="Symbol"/>
        <family val="1"/>
        <charset val="2"/>
      </rPr>
      <t>S</t>
    </r>
    <r>
      <rPr>
        <sz val="10"/>
        <color indexed="8"/>
        <rFont val="Arial"/>
        <family val="2"/>
      </rPr>
      <t>P/A - ΣM/Sf, else P(min) = 0</t>
    </r>
  </si>
  <si>
    <r>
      <t xml:space="preserve">if e/Df &lt;= 0.1321, P(max) = </t>
    </r>
    <r>
      <rPr>
        <sz val="10"/>
        <color indexed="8"/>
        <rFont val="Symbol"/>
        <family val="1"/>
        <charset val="2"/>
      </rPr>
      <t>S</t>
    </r>
    <r>
      <rPr>
        <sz val="10"/>
        <color indexed="8"/>
        <rFont val="Arial"/>
        <family val="2"/>
      </rPr>
      <t>P/A+</t>
    </r>
    <r>
      <rPr>
        <sz val="10"/>
        <color indexed="8"/>
        <rFont val="Symbol"/>
        <family val="1"/>
        <charset val="2"/>
      </rPr>
      <t>S</t>
    </r>
    <r>
      <rPr>
        <sz val="10"/>
        <color indexed="8"/>
        <rFont val="Arial"/>
        <family val="2"/>
      </rPr>
      <t>M/Sf, else P(max) = L*</t>
    </r>
    <r>
      <rPr>
        <sz val="10"/>
        <color indexed="8"/>
        <rFont val="Symbol"/>
        <family val="1"/>
        <charset val="2"/>
      </rPr>
      <t>S</t>
    </r>
    <r>
      <rPr>
        <sz val="10"/>
        <color indexed="8"/>
        <rFont val="Arial"/>
        <family val="2"/>
      </rPr>
      <t>P/A</t>
    </r>
  </si>
  <si>
    <r>
      <t xml:space="preserve">if e/Df &lt;= 0.1321, P(min) = </t>
    </r>
    <r>
      <rPr>
        <sz val="10"/>
        <color indexed="8"/>
        <rFont val="Symbol"/>
        <family val="1"/>
        <charset val="2"/>
      </rPr>
      <t>S</t>
    </r>
    <r>
      <rPr>
        <sz val="10"/>
        <color indexed="8"/>
        <rFont val="Arial"/>
        <family val="2"/>
      </rPr>
      <t>P/A - ΣM/Sf, else P(min) = 0</t>
    </r>
  </si>
  <si>
    <t>Version 3.8</t>
  </si>
  <si>
    <t>m</t>
  </si>
  <si>
    <r>
      <t>kN/m</t>
    </r>
    <r>
      <rPr>
        <vertAlign val="superscript"/>
        <sz val="8"/>
        <rFont val="Arial"/>
        <family val="2"/>
      </rPr>
      <t>2</t>
    </r>
  </si>
  <si>
    <r>
      <t>m</t>
    </r>
    <r>
      <rPr>
        <vertAlign val="superscript"/>
        <sz val="8"/>
        <color rgb="FF000000"/>
        <rFont val="Arial"/>
        <family val="2"/>
      </rPr>
      <t>2</t>
    </r>
  </si>
  <si>
    <r>
      <t>m</t>
    </r>
    <r>
      <rPr>
        <vertAlign val="superscript"/>
        <sz val="8"/>
        <color rgb="FF000000"/>
        <rFont val="Arial"/>
        <family val="2"/>
      </rPr>
      <t>3</t>
    </r>
  </si>
  <si>
    <r>
      <t>m</t>
    </r>
    <r>
      <rPr>
        <vertAlign val="superscript"/>
        <sz val="8"/>
        <color rgb="FF000000"/>
        <rFont val="Arial"/>
        <family val="2"/>
      </rPr>
      <t>4</t>
    </r>
  </si>
  <si>
    <r>
      <t>kN/m</t>
    </r>
    <r>
      <rPr>
        <vertAlign val="superscript"/>
        <sz val="8"/>
        <rFont val="Arial"/>
        <family val="2"/>
      </rPr>
      <t>3</t>
    </r>
  </si>
  <si>
    <t>kN</t>
  </si>
  <si>
    <t>kN-m</t>
  </si>
  <si>
    <t>L/C</t>
  </si>
  <si>
    <t>Fx kN</t>
  </si>
  <si>
    <t>Fy kN</t>
  </si>
  <si>
    <t>Fz kN</t>
  </si>
  <si>
    <t>Mx kN-m</t>
  </si>
  <si>
    <t>My kN-m</t>
  </si>
  <si>
    <t>Mz kN-m</t>
  </si>
  <si>
    <t>Load Case</t>
  </si>
  <si>
    <t>Beam</t>
  </si>
  <si>
    <t>Node</t>
  </si>
  <si>
    <t>101 LC101</t>
  </si>
  <si>
    <t>102 LC102</t>
  </si>
  <si>
    <t>103 LC103</t>
  </si>
  <si>
    <t>104 LC104</t>
  </si>
  <si>
    <t>105 LC105</t>
  </si>
  <si>
    <t>106 LC106</t>
  </si>
  <si>
    <t>107 LC107</t>
  </si>
  <si>
    <t>108 LC108</t>
  </si>
  <si>
    <t>109 LC109</t>
  </si>
  <si>
    <t>110 LC110</t>
  </si>
  <si>
    <t>111 LC111</t>
  </si>
  <si>
    <t>112 LC112</t>
  </si>
  <si>
    <t>113 LC113</t>
  </si>
  <si>
    <t>114 LC114</t>
  </si>
  <si>
    <t>115 LC115</t>
  </si>
  <si>
    <t>116 LC116</t>
  </si>
  <si>
    <t>END</t>
  </si>
  <si>
    <t>117 LC117</t>
  </si>
  <si>
    <t>118 LC118</t>
  </si>
  <si>
    <t>119 LC119</t>
  </si>
  <si>
    <t>120 LC120</t>
  </si>
  <si>
    <t>121 LC121</t>
  </si>
  <si>
    <t>122 LC122</t>
  </si>
  <si>
    <t>123 LC123</t>
  </si>
  <si>
    <t>124 LC124</t>
  </si>
  <si>
    <t>125 LC125</t>
  </si>
  <si>
    <t>126 LC126</t>
  </si>
  <si>
    <t>127 LC127</t>
  </si>
  <si>
    <t>128 LC128</t>
  </si>
  <si>
    <t>129 LC129</t>
  </si>
  <si>
    <t>130 LC130</t>
  </si>
  <si>
    <t>131 LC131</t>
  </si>
  <si>
    <t>132 LC132</t>
  </si>
  <si>
    <t>133 LC133</t>
  </si>
  <si>
    <t>134 LC134</t>
  </si>
  <si>
    <t>135 LC135</t>
  </si>
  <si>
    <t>136 LC136</t>
  </si>
  <si>
    <t>137 LC137</t>
  </si>
  <si>
    <t>138 LC138</t>
  </si>
  <si>
    <t>139 LC139</t>
  </si>
  <si>
    <t>140 LC140</t>
  </si>
  <si>
    <t>141 LC141</t>
  </si>
  <si>
    <t>142 LC142</t>
  </si>
  <si>
    <t>143 LC143</t>
  </si>
  <si>
    <t>144 LC144</t>
  </si>
  <si>
    <t>145 LC145</t>
  </si>
  <si>
    <t>P kN</t>
  </si>
  <si>
    <t>H kN</t>
  </si>
  <si>
    <t>M kNm</t>
  </si>
  <si>
    <t>Ds</t>
  </si>
  <si>
    <t>LC</t>
  </si>
  <si>
    <t>DS</t>
  </si>
  <si>
    <t>FS</t>
  </si>
  <si>
    <t>SBC</t>
  </si>
  <si>
    <r>
      <t xml:space="preserve"> SB Capacity, q</t>
    </r>
    <r>
      <rPr>
        <vertAlign val="subscript"/>
        <sz val="10"/>
        <color rgb="FF000000"/>
        <rFont val="Calibri"/>
        <family val="2"/>
        <scheme val="minor"/>
      </rPr>
      <t>allow</t>
    </r>
    <r>
      <rPr>
        <sz val="10"/>
        <color indexed="8"/>
        <rFont val="Calibri"/>
        <family val="2"/>
        <scheme val="minor"/>
      </rPr>
      <t xml:space="preserve"> =</t>
    </r>
  </si>
  <si>
    <t>Ratio_max</t>
  </si>
  <si>
    <t>Soil BC</t>
  </si>
  <si>
    <t>Ratio Sld</t>
  </si>
  <si>
    <t>Ratio OT</t>
  </si>
  <si>
    <t>RatioSBC</t>
  </si>
  <si>
    <t>N.A.</t>
  </si>
  <si>
    <t>Ratio SLD</t>
  </si>
  <si>
    <t>Ratio SBC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</si>
</sst>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quot;$&quot;#,##0\ ;\(&quot;$&quot;#,##0\)"/>
    <numFmt numFmtId="167" formatCode="0.00000"/>
    <numFmt numFmtId="169" formatCode="0.0"/>
  </numFmts>
  <fonts count="64">
    <font>
      <sz val="10"/>
      <name val="Arial"/>
    </font>
    <font>
      <sz val="10"/>
      <color indexed="12"/>
      <name val="Arial"/>
      <family val="2"/>
    </font>
    <font>
      <sz val="10"/>
      <color indexed="8"/>
      <name val="Arial"/>
      <family val="2"/>
    </font>
    <font>
      <sz val="10"/>
      <color indexed="24"/>
      <name val="Arial"/>
      <family val="2"/>
    </font>
    <font>
      <b/>
      <sz val="18"/>
      <color indexed="24"/>
      <name val="Arial"/>
      <family val="2"/>
    </font>
    <font>
      <b/>
      <sz val="12"/>
      <color indexed="24"/>
      <name val="Arial"/>
      <family val="2"/>
    </font>
    <font>
      <b/>
      <sz val="12"/>
      <name val="Arial"/>
      <family val="2"/>
    </font>
    <font>
      <b/>
      <sz val="10"/>
      <name val="Arial"/>
      <family val="2"/>
    </font>
    <font>
      <u/>
      <sz val="10"/>
      <color indexed="12"/>
      <name val="Arial"/>
      <family val="2"/>
    </font>
    <font>
      <b/>
      <sz val="10"/>
      <color indexed="10"/>
      <name val="Arial"/>
      <family val="2"/>
    </font>
    <font>
      <sz val="8"/>
      <name val="Arial"/>
      <family val="2"/>
    </font>
    <font>
      <b/>
      <u/>
      <sz val="10"/>
      <name val="Arial"/>
      <family val="2"/>
    </font>
    <font>
      <b/>
      <u/>
      <sz val="10"/>
      <color indexed="8"/>
      <name val="Arial"/>
      <family val="2"/>
    </font>
    <font>
      <sz val="8"/>
      <color indexed="8"/>
      <name val="Arial"/>
      <family val="2"/>
    </font>
    <font>
      <sz val="10"/>
      <color indexed="8"/>
      <name val="Symbol"/>
      <family val="1"/>
      <charset val="2"/>
    </font>
    <font>
      <sz val="8"/>
      <color indexed="81"/>
      <name val="Tahoma"/>
      <family val="2"/>
    </font>
    <font>
      <sz val="10"/>
      <name val="Symbol"/>
      <family val="1"/>
      <charset val="2"/>
    </font>
    <font>
      <sz val="10"/>
      <name val="Arial"/>
      <family val="2"/>
    </font>
    <font>
      <sz val="8"/>
      <color indexed="12"/>
      <name val="Arial"/>
      <family val="2"/>
    </font>
    <font>
      <b/>
      <sz val="10"/>
      <color indexed="8"/>
      <name val="Arial"/>
      <family val="2"/>
    </font>
    <font>
      <sz val="9"/>
      <color indexed="12"/>
      <name val="Arial"/>
      <family val="2"/>
    </font>
    <font>
      <sz val="8"/>
      <color indexed="81"/>
      <name val="Symbol"/>
      <family val="1"/>
      <charset val="2"/>
    </font>
    <font>
      <b/>
      <sz val="8"/>
      <color indexed="81"/>
      <name val="Tahoma"/>
      <family val="2"/>
    </font>
    <font>
      <u/>
      <sz val="8"/>
      <color indexed="12"/>
      <name val="Arial"/>
      <family val="2"/>
    </font>
    <font>
      <sz val="8"/>
      <color indexed="10"/>
      <name val="Tahoma"/>
      <family val="2"/>
    </font>
    <font>
      <u/>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name val="Arial Greek"/>
    </font>
    <font>
      <sz val="10"/>
      <name val="Arial"/>
      <family val="2"/>
    </font>
    <font>
      <i/>
      <u/>
      <sz val="10"/>
      <color indexed="10"/>
      <name val="Arial"/>
      <family val="2"/>
    </font>
    <font>
      <i/>
      <sz val="10"/>
      <color indexed="8"/>
      <name val="Arial"/>
      <family val="2"/>
    </font>
    <font>
      <sz val="10"/>
      <color indexed="8"/>
      <name val="Tahoma"/>
      <family val="2"/>
    </font>
    <font>
      <sz val="10"/>
      <name val="Tahoma"/>
      <family val="2"/>
    </font>
    <font>
      <sz val="9"/>
      <color indexed="81"/>
      <name val="Arial"/>
      <family val="2"/>
    </font>
    <font>
      <sz val="9"/>
      <color indexed="81"/>
      <name val="Symbol"/>
      <family val="1"/>
      <charset val="2"/>
    </font>
    <font>
      <sz val="9"/>
      <color indexed="81"/>
      <name val="Tahoma"/>
      <family val="2"/>
    </font>
    <font>
      <sz val="10"/>
      <color rgb="FF0000FF"/>
      <name val="Arial"/>
      <family val="2"/>
    </font>
    <font>
      <u/>
      <sz val="10"/>
      <color rgb="FF0000FF"/>
      <name val="Arial"/>
      <family val="2"/>
    </font>
    <font>
      <sz val="8"/>
      <color rgb="FF0000FF"/>
      <name val="Arial"/>
      <family val="2"/>
    </font>
    <font>
      <u/>
      <sz val="8"/>
      <color rgb="FF0000FF"/>
      <name val="Arial"/>
      <family val="2"/>
    </font>
    <font>
      <i/>
      <sz val="8"/>
      <color rgb="FF0000FF"/>
      <name val="Arial"/>
      <family val="2"/>
    </font>
    <font>
      <vertAlign val="superscript"/>
      <sz val="8"/>
      <name val="Arial"/>
      <family val="2"/>
    </font>
    <font>
      <vertAlign val="superscript"/>
      <sz val="8"/>
      <color rgb="FF000000"/>
      <name val="Arial"/>
      <family val="2"/>
    </font>
    <font>
      <sz val="10"/>
      <name val="Cambria"/>
      <family val="1"/>
      <scheme val="major"/>
    </font>
    <font>
      <b/>
      <sz val="10"/>
      <name val="Cambria"/>
      <family val="1"/>
      <scheme val="major"/>
    </font>
    <font>
      <b/>
      <sz val="10"/>
      <color rgb="FFFF0000"/>
      <name val="Cambria"/>
      <family val="1"/>
      <scheme val="major"/>
    </font>
    <font>
      <sz val="10"/>
      <name val="Aptos Narrow"/>
      <family val="2"/>
    </font>
    <font>
      <sz val="10"/>
      <color indexed="8"/>
      <name val="Calibri"/>
      <family val="2"/>
      <scheme val="minor"/>
    </font>
    <font>
      <vertAlign val="subscript"/>
      <sz val="10"/>
      <color rgb="FF000000"/>
      <name val="Calibri"/>
      <family val="2"/>
      <scheme val="minor"/>
    </font>
    <font>
      <sz val="10"/>
      <color indexed="12"/>
      <name val="Calibri"/>
      <family val="2"/>
      <scheme val="minor"/>
    </font>
    <font>
      <b/>
      <sz val="10"/>
      <color indexed="12"/>
      <name val="Calibri"/>
      <family val="2"/>
      <scheme val="minor"/>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solid">
        <fgColor theme="0"/>
        <bgColor indexed="64"/>
      </patternFill>
    </fill>
    <fill>
      <patternFill patternType="solid">
        <fgColor rgb="FFFFFF99"/>
        <bgColor indexed="64"/>
      </patternFill>
    </fill>
    <fill>
      <patternFill patternType="solid">
        <fgColor rgb="FFFFFF00"/>
        <bgColor indexed="64"/>
      </patternFill>
    </fill>
  </fills>
  <borders count="2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double">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style="thin">
        <color indexed="64"/>
      </left>
      <right style="thin">
        <color indexed="64"/>
      </right>
      <top style="thin">
        <color indexed="64"/>
      </top>
      <bottom/>
      <diagonal/>
    </border>
  </borders>
  <cellStyleXfs count="50">
    <xf numFmtId="0" fontId="0" fillId="0" borderId="0"/>
    <xf numFmtId="0" fontId="26" fillId="2" borderId="0" applyNumberFormat="0" applyBorder="0" applyAlignment="0" applyProtection="0"/>
    <xf numFmtId="0" fontId="26" fillId="3" borderId="0" applyNumberFormat="0" applyBorder="0" applyAlignment="0" applyProtection="0"/>
    <xf numFmtId="0" fontId="26" fillId="4" borderId="0" applyNumberFormat="0" applyBorder="0" applyAlignment="0" applyProtection="0"/>
    <xf numFmtId="0" fontId="26" fillId="5" borderId="0" applyNumberFormat="0" applyBorder="0" applyAlignment="0" applyProtection="0"/>
    <xf numFmtId="0" fontId="26" fillId="6" borderId="0" applyNumberFormat="0" applyBorder="0" applyAlignment="0" applyProtection="0"/>
    <xf numFmtId="0" fontId="26" fillId="7" borderId="0" applyNumberFormat="0" applyBorder="0" applyAlignment="0" applyProtection="0"/>
    <xf numFmtId="0" fontId="26" fillId="8" borderId="0" applyNumberFormat="0" applyBorder="0" applyAlignment="0" applyProtection="0"/>
    <xf numFmtId="0" fontId="26" fillId="9" borderId="0" applyNumberFormat="0" applyBorder="0" applyAlignment="0" applyProtection="0"/>
    <xf numFmtId="0" fontId="26" fillId="10" borderId="0" applyNumberFormat="0" applyBorder="0" applyAlignment="0" applyProtection="0"/>
    <xf numFmtId="0" fontId="26" fillId="5" borderId="0" applyNumberFormat="0" applyBorder="0" applyAlignment="0" applyProtection="0"/>
    <xf numFmtId="0" fontId="26" fillId="8" borderId="0" applyNumberFormat="0" applyBorder="0" applyAlignment="0" applyProtection="0"/>
    <xf numFmtId="0" fontId="26" fillId="11" borderId="0" applyNumberFormat="0" applyBorder="0" applyAlignment="0" applyProtection="0"/>
    <xf numFmtId="0" fontId="27" fillId="12"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3" borderId="0" applyNumberFormat="0" applyBorder="0" applyAlignment="0" applyProtection="0"/>
    <xf numFmtId="0" fontId="27" fillId="14" borderId="0" applyNumberFormat="0" applyBorder="0" applyAlignment="0" applyProtection="0"/>
    <xf numFmtId="0" fontId="27" fillId="15"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7" fillId="18" borderId="0" applyNumberFormat="0" applyBorder="0" applyAlignment="0" applyProtection="0"/>
    <xf numFmtId="0" fontId="27" fillId="13" borderId="0" applyNumberFormat="0" applyBorder="0" applyAlignment="0" applyProtection="0"/>
    <xf numFmtId="0" fontId="27" fillId="14" borderId="0" applyNumberFormat="0" applyBorder="0" applyAlignment="0" applyProtection="0"/>
    <xf numFmtId="0" fontId="27" fillId="19" borderId="0" applyNumberFormat="0" applyBorder="0" applyAlignment="0" applyProtection="0"/>
    <xf numFmtId="0" fontId="28" fillId="3" borderId="0" applyNumberFormat="0" applyBorder="0" applyAlignment="0" applyProtection="0"/>
    <xf numFmtId="0" fontId="29" fillId="20" borderId="1" applyNumberFormat="0" applyAlignment="0" applyProtection="0"/>
    <xf numFmtId="0" fontId="30" fillId="21" borderId="2" applyNumberFormat="0" applyAlignment="0" applyProtection="0"/>
    <xf numFmtId="3"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0" fontId="31" fillId="0" borderId="0" applyNumberFormat="0" applyFill="0" applyBorder="0" applyAlignment="0" applyProtection="0"/>
    <xf numFmtId="2" fontId="3" fillId="0" borderId="0" applyFont="0" applyFill="0" applyBorder="0" applyAlignment="0" applyProtection="0"/>
    <xf numFmtId="0" fontId="32" fillId="4" borderId="0" applyNumberFormat="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3" fillId="0" borderId="3" applyNumberFormat="0" applyFill="0" applyAlignment="0" applyProtection="0"/>
    <xf numFmtId="0" fontId="33" fillId="0" borderId="0" applyNumberFormat="0" applyFill="0" applyBorder="0" applyAlignment="0" applyProtection="0"/>
    <xf numFmtId="0" fontId="8" fillId="0" borderId="0" applyNumberFormat="0" applyFill="0" applyBorder="0" applyAlignment="0" applyProtection="0">
      <alignment vertical="top"/>
      <protection locked="0"/>
    </xf>
    <xf numFmtId="0" fontId="34" fillId="7" borderId="1" applyNumberFormat="0" applyAlignment="0" applyProtection="0"/>
    <xf numFmtId="0" fontId="35" fillId="0" borderId="4" applyNumberFormat="0" applyFill="0" applyAlignment="0" applyProtection="0"/>
    <xf numFmtId="0" fontId="36" fillId="22" borderId="0" applyNumberFormat="0" applyBorder="0" applyAlignment="0" applyProtection="0"/>
    <xf numFmtId="0" fontId="40" fillId="0" borderId="0"/>
    <xf numFmtId="0" fontId="17" fillId="0" borderId="0"/>
    <xf numFmtId="0" fontId="17" fillId="23" borderId="5" applyNumberFormat="0" applyFont="0" applyAlignment="0" applyProtection="0"/>
    <xf numFmtId="0" fontId="37" fillId="20" borderId="6" applyNumberFormat="0" applyAlignment="0" applyProtection="0"/>
    <xf numFmtId="9" fontId="40" fillId="0" borderId="0" applyFont="0" applyFill="0" applyBorder="0" applyAlignment="0" applyProtection="0"/>
    <xf numFmtId="0" fontId="38" fillId="0" borderId="0" applyNumberFormat="0" applyFill="0" applyBorder="0" applyAlignment="0" applyProtection="0"/>
    <xf numFmtId="0" fontId="3" fillId="0" borderId="7" applyNumberFormat="0" applyFont="0" applyFill="0" applyAlignment="0" applyProtection="0"/>
    <xf numFmtId="0" fontId="39" fillId="0" borderId="0" applyNumberFormat="0" applyFill="0" applyBorder="0" applyAlignment="0" applyProtection="0"/>
  </cellStyleXfs>
  <cellXfs count="188">
    <xf numFmtId="0" fontId="0" fillId="0" borderId="0" xfId="0"/>
    <xf numFmtId="0" fontId="0" fillId="24" borderId="9" xfId="0" applyFill="1" applyBorder="1" applyAlignment="1" applyProtection="1">
      <alignment horizontal="centerContinuous"/>
      <protection hidden="1"/>
    </xf>
    <xf numFmtId="0" fontId="7" fillId="24" borderId="9" xfId="0" applyFont="1" applyFill="1" applyBorder="1" applyAlignment="1" applyProtection="1">
      <alignment horizontal="centerContinuous"/>
      <protection hidden="1"/>
    </xf>
    <xf numFmtId="0" fontId="7" fillId="24" borderId="0" xfId="0" applyFont="1" applyFill="1" applyAlignment="1" applyProtection="1">
      <alignment horizontal="centerContinuous"/>
      <protection hidden="1"/>
    </xf>
    <xf numFmtId="0" fontId="9" fillId="24" borderId="0" xfId="0" applyFont="1" applyFill="1" applyAlignment="1" applyProtection="1">
      <alignment horizontal="centerContinuous"/>
      <protection hidden="1"/>
    </xf>
    <xf numFmtId="0" fontId="0" fillId="24" borderId="0" xfId="0" applyFill="1" applyAlignment="1" applyProtection="1">
      <alignment horizontal="centerContinuous"/>
      <protection hidden="1"/>
    </xf>
    <xf numFmtId="0" fontId="7" fillId="24" borderId="13" xfId="0" applyFont="1" applyFill="1" applyBorder="1" applyAlignment="1" applyProtection="1">
      <alignment horizontal="centerContinuous"/>
      <protection hidden="1"/>
    </xf>
    <xf numFmtId="0" fontId="0" fillId="24" borderId="13" xfId="0" applyFill="1" applyBorder="1" applyAlignment="1" applyProtection="1">
      <alignment horizontal="centerContinuous"/>
      <protection hidden="1"/>
    </xf>
    <xf numFmtId="0" fontId="2" fillId="25" borderId="15" xfId="0" applyFont="1" applyFill="1" applyBorder="1" applyAlignment="1" applyProtection="1">
      <alignment horizontal="center"/>
      <protection hidden="1"/>
    </xf>
    <xf numFmtId="0" fontId="0" fillId="25" borderId="11" xfId="0" applyFill="1" applyBorder="1" applyAlignment="1" applyProtection="1">
      <alignment horizontal="right"/>
      <protection hidden="1"/>
    </xf>
    <xf numFmtId="0" fontId="11" fillId="25" borderId="11" xfId="0" applyFont="1" applyFill="1" applyBorder="1" applyProtection="1">
      <protection hidden="1"/>
    </xf>
    <xf numFmtId="0" fontId="2" fillId="25" borderId="0" xfId="0" applyFont="1" applyFill="1" applyProtection="1">
      <protection hidden="1"/>
    </xf>
    <xf numFmtId="0" fontId="0" fillId="25" borderId="11" xfId="0" applyFill="1" applyBorder="1" applyProtection="1">
      <protection hidden="1"/>
    </xf>
    <xf numFmtId="0" fontId="0" fillId="25" borderId="0" xfId="0" applyFill="1" applyProtection="1">
      <protection hidden="1"/>
    </xf>
    <xf numFmtId="0" fontId="0" fillId="25" borderId="0" xfId="0" applyFill="1" applyAlignment="1" applyProtection="1">
      <alignment horizontal="centerContinuous"/>
      <protection hidden="1"/>
    </xf>
    <xf numFmtId="0" fontId="0" fillId="25" borderId="0" xfId="0" applyFill="1" applyAlignment="1" applyProtection="1">
      <alignment horizontal="center"/>
      <protection hidden="1"/>
    </xf>
    <xf numFmtId="0" fontId="0" fillId="25" borderId="13" xfId="0" applyFill="1" applyBorder="1" applyProtection="1">
      <protection hidden="1"/>
    </xf>
    <xf numFmtId="0" fontId="0" fillId="25" borderId="0" xfId="0" applyFill="1" applyAlignment="1" applyProtection="1">
      <alignment horizontal="right"/>
      <protection hidden="1"/>
    </xf>
    <xf numFmtId="0" fontId="7" fillId="25" borderId="0" xfId="0" applyFont="1" applyFill="1" applyProtection="1">
      <protection hidden="1"/>
    </xf>
    <xf numFmtId="0" fontId="2" fillId="25" borderId="11" xfId="0" applyFont="1" applyFill="1" applyBorder="1" applyAlignment="1" applyProtection="1">
      <alignment horizontal="right"/>
      <protection hidden="1"/>
    </xf>
    <xf numFmtId="0" fontId="10" fillId="25" borderId="0" xfId="0" applyFont="1" applyFill="1" applyProtection="1">
      <protection hidden="1"/>
    </xf>
    <xf numFmtId="0" fontId="1" fillId="25" borderId="0" xfId="0" applyFont="1" applyFill="1" applyProtection="1">
      <protection hidden="1"/>
    </xf>
    <xf numFmtId="2" fontId="0" fillId="25" borderId="0" xfId="0" applyNumberFormat="1" applyFill="1" applyProtection="1">
      <protection hidden="1"/>
    </xf>
    <xf numFmtId="164" fontId="0" fillId="25" borderId="0" xfId="0" applyNumberFormat="1" applyFill="1" applyProtection="1">
      <protection hidden="1"/>
    </xf>
    <xf numFmtId="0" fontId="2" fillId="25" borderId="0" xfId="0" applyFont="1" applyFill="1" applyAlignment="1" applyProtection="1">
      <alignment horizontal="centerContinuous"/>
      <protection hidden="1"/>
    </xf>
    <xf numFmtId="0" fontId="2" fillId="25" borderId="0" xfId="0" applyFont="1" applyFill="1" applyAlignment="1" applyProtection="1">
      <alignment horizontal="right"/>
      <protection hidden="1"/>
    </xf>
    <xf numFmtId="0" fontId="0" fillId="25" borderId="8" xfId="0" applyFill="1" applyBorder="1" applyProtection="1">
      <protection hidden="1"/>
    </xf>
    <xf numFmtId="0" fontId="0" fillId="25" borderId="9" xfId="0" applyFill="1" applyBorder="1" applyProtection="1">
      <protection hidden="1"/>
    </xf>
    <xf numFmtId="0" fontId="11" fillId="25" borderId="0" xfId="0" applyFont="1" applyFill="1" applyProtection="1">
      <protection hidden="1"/>
    </xf>
    <xf numFmtId="0" fontId="0" fillId="25" borderId="20" xfId="0" applyFill="1" applyBorder="1" applyProtection="1">
      <protection hidden="1"/>
    </xf>
    <xf numFmtId="0" fontId="13" fillId="25" borderId="0" xfId="0" applyFont="1" applyFill="1" applyProtection="1">
      <protection hidden="1"/>
    </xf>
    <xf numFmtId="2" fontId="2" fillId="25" borderId="0" xfId="0" applyNumberFormat="1" applyFont="1" applyFill="1" applyProtection="1">
      <protection hidden="1"/>
    </xf>
    <xf numFmtId="0" fontId="0" fillId="25" borderId="0" xfId="0" applyFill="1"/>
    <xf numFmtId="0" fontId="17" fillId="25" borderId="0" xfId="0" applyFont="1" applyFill="1" applyProtection="1">
      <protection hidden="1"/>
    </xf>
    <xf numFmtId="0" fontId="17" fillId="25" borderId="0" xfId="0" applyFont="1" applyFill="1"/>
    <xf numFmtId="2" fontId="1" fillId="25" borderId="0" xfId="0" applyNumberFormat="1" applyFont="1" applyFill="1" applyProtection="1">
      <protection hidden="1"/>
    </xf>
    <xf numFmtId="0" fontId="2" fillId="25" borderId="0" xfId="0" applyFont="1" applyFill="1" applyProtection="1">
      <protection locked="0"/>
    </xf>
    <xf numFmtId="0" fontId="19" fillId="25" borderId="0" xfId="0" applyFont="1" applyFill="1" applyAlignment="1" applyProtection="1">
      <alignment horizontal="left"/>
      <protection hidden="1"/>
    </xf>
    <xf numFmtId="0" fontId="7" fillId="25" borderId="0" xfId="0" applyFont="1" applyFill="1" applyAlignment="1" applyProtection="1">
      <alignment horizontal="left"/>
      <protection hidden="1"/>
    </xf>
    <xf numFmtId="0" fontId="2" fillId="25" borderId="18" xfId="0" applyFont="1" applyFill="1" applyBorder="1" applyAlignment="1" applyProtection="1">
      <alignment horizontal="center"/>
      <protection hidden="1"/>
    </xf>
    <xf numFmtId="164" fontId="1" fillId="25" borderId="18" xfId="0" applyNumberFormat="1" applyFont="1" applyFill="1" applyBorder="1" applyAlignment="1" applyProtection="1">
      <alignment horizontal="center"/>
      <protection hidden="1"/>
    </xf>
    <xf numFmtId="0" fontId="17" fillId="25" borderId="11" xfId="0" applyFont="1" applyFill="1" applyBorder="1" applyProtection="1">
      <protection hidden="1"/>
    </xf>
    <xf numFmtId="164" fontId="1" fillId="25" borderId="0" xfId="0" applyNumberFormat="1" applyFont="1" applyFill="1" applyProtection="1">
      <protection hidden="1"/>
    </xf>
    <xf numFmtId="0" fontId="17" fillId="25" borderId="12" xfId="0" applyFont="1" applyFill="1" applyBorder="1" applyProtection="1">
      <protection hidden="1"/>
    </xf>
    <xf numFmtId="0" fontId="25" fillId="25" borderId="0" xfId="0" applyFont="1" applyFill="1" applyProtection="1">
      <protection hidden="1"/>
    </xf>
    <xf numFmtId="14" fontId="0" fillId="25" borderId="0" xfId="0" applyNumberFormat="1" applyFill="1" applyAlignment="1" applyProtection="1">
      <alignment horizontal="center"/>
      <protection hidden="1"/>
    </xf>
    <xf numFmtId="18" fontId="0" fillId="25" borderId="0" xfId="0" applyNumberFormat="1" applyFill="1" applyAlignment="1" applyProtection="1">
      <alignment horizontal="center"/>
      <protection hidden="1"/>
    </xf>
    <xf numFmtId="0" fontId="25" fillId="25" borderId="0" xfId="0" applyFont="1" applyFill="1" applyAlignment="1" applyProtection="1">
      <alignment horizontal="centerContinuous"/>
      <protection hidden="1"/>
    </xf>
    <xf numFmtId="0" fontId="17" fillId="25" borderId="0" xfId="0" applyFont="1" applyFill="1" applyAlignment="1" applyProtection="1">
      <alignment horizontal="right"/>
      <protection hidden="1"/>
    </xf>
    <xf numFmtId="2" fontId="1" fillId="25" borderId="18" xfId="0" applyNumberFormat="1" applyFont="1" applyFill="1" applyBorder="1" applyAlignment="1" applyProtection="1">
      <alignment horizontal="center"/>
      <protection hidden="1"/>
    </xf>
    <xf numFmtId="0" fontId="41" fillId="25" borderId="0" xfId="0" applyFont="1" applyFill="1" applyAlignment="1" applyProtection="1">
      <alignment horizontal="centerContinuous"/>
      <protection hidden="1"/>
    </xf>
    <xf numFmtId="0" fontId="41" fillId="25" borderId="0" xfId="0" applyFont="1" applyFill="1" applyProtection="1">
      <protection hidden="1"/>
    </xf>
    <xf numFmtId="0" fontId="10" fillId="25" borderId="14" xfId="0" applyFont="1" applyFill="1" applyBorder="1" applyAlignment="1" applyProtection="1">
      <alignment horizontal="right"/>
      <protection hidden="1"/>
    </xf>
    <xf numFmtId="0" fontId="6" fillId="24" borderId="8" xfId="43" applyFont="1" applyFill="1" applyBorder="1" applyAlignment="1" applyProtection="1">
      <alignment horizontal="centerContinuous"/>
      <protection hidden="1"/>
    </xf>
    <xf numFmtId="0" fontId="17" fillId="24" borderId="10" xfId="0" applyFont="1" applyFill="1" applyBorder="1" applyAlignment="1">
      <alignment horizontal="centerContinuous"/>
    </xf>
    <xf numFmtId="0" fontId="0" fillId="25" borderId="0" xfId="0" applyFill="1" applyProtection="1">
      <protection locked="0" hidden="1"/>
    </xf>
    <xf numFmtId="0" fontId="9" fillId="24" borderId="11" xfId="43" applyFont="1" applyFill="1" applyBorder="1" applyAlignment="1" applyProtection="1">
      <alignment horizontal="centerContinuous"/>
      <protection hidden="1"/>
    </xf>
    <xf numFmtId="0" fontId="17" fillId="24" borderId="12" xfId="0" applyFont="1" applyFill="1" applyBorder="1" applyAlignment="1">
      <alignment horizontal="centerContinuous"/>
    </xf>
    <xf numFmtId="0" fontId="9" fillId="24" borderId="20" xfId="43" applyFont="1" applyFill="1" applyBorder="1" applyAlignment="1" applyProtection="1">
      <alignment horizontal="centerContinuous"/>
      <protection hidden="1"/>
    </xf>
    <xf numFmtId="0" fontId="17" fillId="24" borderId="14" xfId="0" applyFont="1" applyFill="1" applyBorder="1" applyAlignment="1">
      <alignment horizontal="centerContinuous"/>
    </xf>
    <xf numFmtId="0" fontId="0" fillId="25" borderId="15" xfId="0" applyFill="1" applyBorder="1" applyAlignment="1" applyProtection="1">
      <alignment horizontal="center"/>
      <protection hidden="1"/>
    </xf>
    <xf numFmtId="49" fontId="49" fillId="25" borderId="20" xfId="0" applyNumberFormat="1" applyFont="1" applyFill="1" applyBorder="1" applyProtection="1">
      <protection locked="0"/>
    </xf>
    <xf numFmtId="49" fontId="49" fillId="25" borderId="13" xfId="0" applyNumberFormat="1" applyFont="1" applyFill="1" applyBorder="1" applyProtection="1">
      <protection locked="0"/>
    </xf>
    <xf numFmtId="0" fontId="49" fillId="25" borderId="19" xfId="0" applyFont="1" applyFill="1" applyBorder="1" applyProtection="1">
      <protection locked="0"/>
    </xf>
    <xf numFmtId="0" fontId="49" fillId="25" borderId="16" xfId="0" applyFont="1" applyFill="1" applyBorder="1" applyProtection="1">
      <protection locked="0"/>
    </xf>
    <xf numFmtId="0" fontId="49" fillId="25" borderId="17" xfId="0" applyFont="1" applyFill="1" applyBorder="1" applyProtection="1">
      <protection locked="0"/>
    </xf>
    <xf numFmtId="49" fontId="49" fillId="25" borderId="19" xfId="0" quotePrefix="1" applyNumberFormat="1" applyFont="1" applyFill="1" applyBorder="1" applyProtection="1">
      <protection locked="0"/>
    </xf>
    <xf numFmtId="49" fontId="49" fillId="25" borderId="16" xfId="0" applyNumberFormat="1" applyFont="1" applyFill="1" applyBorder="1" applyProtection="1">
      <protection locked="0"/>
    </xf>
    <xf numFmtId="0" fontId="2" fillId="25" borderId="17" xfId="0" applyFont="1" applyFill="1" applyBorder="1" applyAlignment="1" applyProtection="1">
      <alignment horizontal="center"/>
      <protection hidden="1"/>
    </xf>
    <xf numFmtId="0" fontId="2" fillId="25" borderId="8" xfId="0" applyFont="1" applyFill="1" applyBorder="1" applyProtection="1">
      <protection hidden="1"/>
    </xf>
    <xf numFmtId="0" fontId="49" fillId="25" borderId="0" xfId="0" applyFont="1" applyFill="1" applyProtection="1">
      <protection locked="0"/>
    </xf>
    <xf numFmtId="0" fontId="49" fillId="25" borderId="0" xfId="0" applyFont="1" applyFill="1" applyProtection="1">
      <protection hidden="1"/>
    </xf>
    <xf numFmtId="0" fontId="12" fillId="25" borderId="11" xfId="0" applyFont="1" applyFill="1" applyBorder="1" applyProtection="1">
      <protection hidden="1"/>
    </xf>
    <xf numFmtId="164" fontId="1" fillId="26" borderId="21" xfId="43" applyNumberFormat="1" applyFont="1" applyFill="1" applyBorder="1" applyAlignment="1" applyProtection="1">
      <alignment horizontal="center"/>
      <protection locked="0"/>
    </xf>
    <xf numFmtId="164" fontId="1" fillId="26" borderId="22" xfId="43" applyNumberFormat="1" applyFont="1" applyFill="1" applyBorder="1" applyAlignment="1" applyProtection="1">
      <alignment horizontal="center"/>
      <protection locked="0"/>
    </xf>
    <xf numFmtId="0" fontId="10" fillId="25" borderId="0" xfId="43" applyFont="1" applyFill="1" applyAlignment="1" applyProtection="1">
      <alignment horizontal="left"/>
      <protection hidden="1"/>
    </xf>
    <xf numFmtId="165" fontId="2" fillId="25" borderId="0" xfId="0" applyNumberFormat="1" applyFont="1" applyFill="1" applyAlignment="1" applyProtection="1">
      <alignment horizontal="center"/>
      <protection hidden="1"/>
    </xf>
    <xf numFmtId="0" fontId="17" fillId="25" borderId="0" xfId="43" applyFill="1" applyAlignment="1" applyProtection="1">
      <alignment horizontal="right"/>
      <protection hidden="1"/>
    </xf>
    <xf numFmtId="0" fontId="10" fillId="25" borderId="0" xfId="43" applyFont="1" applyFill="1" applyProtection="1">
      <protection hidden="1"/>
    </xf>
    <xf numFmtId="0" fontId="17" fillId="25" borderId="11" xfId="43" applyFill="1" applyBorder="1" applyAlignment="1" applyProtection="1">
      <alignment horizontal="right"/>
      <protection hidden="1"/>
    </xf>
    <xf numFmtId="164" fontId="2" fillId="25" borderId="0" xfId="43" applyNumberFormat="1" applyFont="1" applyFill="1" applyAlignment="1" applyProtection="1">
      <alignment horizontal="right"/>
      <protection hidden="1"/>
    </xf>
    <xf numFmtId="0" fontId="2" fillId="25" borderId="0" xfId="43" applyFont="1" applyFill="1" applyAlignment="1" applyProtection="1">
      <alignment horizontal="right"/>
      <protection hidden="1"/>
    </xf>
    <xf numFmtId="0" fontId="43" fillId="25" borderId="0" xfId="0" applyFont="1" applyFill="1" applyProtection="1">
      <protection hidden="1"/>
    </xf>
    <xf numFmtId="164" fontId="1" fillId="26" borderId="23" xfId="43" applyNumberFormat="1" applyFont="1" applyFill="1" applyBorder="1" applyAlignment="1" applyProtection="1">
      <alignment horizontal="center"/>
      <protection locked="0"/>
    </xf>
    <xf numFmtId="0" fontId="20" fillId="25" borderId="0" xfId="43" applyFont="1" applyFill="1" applyProtection="1">
      <protection hidden="1"/>
    </xf>
    <xf numFmtId="0" fontId="17" fillId="25" borderId="0" xfId="43" applyFill="1" applyProtection="1">
      <protection hidden="1"/>
    </xf>
    <xf numFmtId="0" fontId="17" fillId="25" borderId="12" xfId="43" applyFill="1" applyBorder="1" applyProtection="1">
      <protection hidden="1"/>
    </xf>
    <xf numFmtId="0" fontId="20" fillId="25" borderId="12" xfId="43" applyFont="1" applyFill="1" applyBorder="1" applyProtection="1">
      <protection hidden="1"/>
    </xf>
    <xf numFmtId="2" fontId="49" fillId="25" borderId="0" xfId="0" applyNumberFormat="1" applyFont="1" applyFill="1" applyProtection="1">
      <protection locked="0"/>
    </xf>
    <xf numFmtId="164" fontId="49" fillId="25" borderId="0" xfId="0" applyNumberFormat="1" applyFont="1" applyFill="1" applyAlignment="1" applyProtection="1">
      <alignment horizontal="center"/>
      <protection hidden="1"/>
    </xf>
    <xf numFmtId="164" fontId="13" fillId="25" borderId="0" xfId="0" applyNumberFormat="1" applyFont="1" applyFill="1" applyProtection="1">
      <protection hidden="1"/>
    </xf>
    <xf numFmtId="2" fontId="1" fillId="25" borderId="22" xfId="43" applyNumberFormat="1" applyFont="1" applyFill="1" applyBorder="1" applyAlignment="1" applyProtection="1">
      <alignment horizontal="center"/>
      <protection hidden="1"/>
    </xf>
    <xf numFmtId="165" fontId="17" fillId="25" borderId="0" xfId="0" applyNumberFormat="1" applyFont="1" applyFill="1" applyAlignment="1" applyProtection="1">
      <alignment horizontal="left"/>
      <protection hidden="1"/>
    </xf>
    <xf numFmtId="2" fontId="1" fillId="25" borderId="23" xfId="43" applyNumberFormat="1" applyFont="1" applyFill="1" applyBorder="1" applyAlignment="1" applyProtection="1">
      <alignment horizontal="center"/>
      <protection hidden="1"/>
    </xf>
    <xf numFmtId="2" fontId="1" fillId="25" borderId="21" xfId="43" applyNumberFormat="1" applyFont="1" applyFill="1" applyBorder="1" applyAlignment="1" applyProtection="1">
      <alignment horizontal="center"/>
      <protection hidden="1"/>
    </xf>
    <xf numFmtId="164" fontId="2" fillId="25" borderId="0" xfId="0" applyNumberFormat="1" applyFont="1" applyFill="1" applyProtection="1">
      <protection hidden="1"/>
    </xf>
    <xf numFmtId="0" fontId="12" fillId="25" borderId="11" xfId="43" applyFont="1" applyFill="1" applyBorder="1" applyAlignment="1" applyProtection="1">
      <alignment horizontal="left"/>
      <protection hidden="1"/>
    </xf>
    <xf numFmtId="164" fontId="1" fillId="25" borderId="22" xfId="43" applyNumberFormat="1" applyFont="1" applyFill="1" applyBorder="1" applyAlignment="1" applyProtection="1">
      <alignment horizontal="center"/>
      <protection hidden="1"/>
    </xf>
    <xf numFmtId="165" fontId="1" fillId="25" borderId="23" xfId="43" applyNumberFormat="1" applyFont="1" applyFill="1" applyBorder="1" applyAlignment="1" applyProtection="1">
      <alignment horizontal="center"/>
      <protection hidden="1"/>
    </xf>
    <xf numFmtId="165" fontId="1" fillId="25" borderId="13" xfId="0" applyNumberFormat="1" applyFont="1" applyFill="1" applyBorder="1" applyAlignment="1" applyProtection="1">
      <alignment horizontal="center"/>
      <protection hidden="1"/>
    </xf>
    <xf numFmtId="0" fontId="17" fillId="25" borderId="14" xfId="0" applyFont="1" applyFill="1" applyBorder="1" applyProtection="1">
      <protection hidden="1"/>
    </xf>
    <xf numFmtId="0" fontId="17" fillId="25" borderId="10" xfId="0" applyFont="1" applyFill="1" applyBorder="1" applyProtection="1">
      <protection hidden="1"/>
    </xf>
    <xf numFmtId="164" fontId="1" fillId="25" borderId="23" xfId="43" applyNumberFormat="1" applyFont="1" applyFill="1" applyBorder="1" applyAlignment="1" applyProtection="1">
      <alignment horizontal="center"/>
      <protection hidden="1"/>
    </xf>
    <xf numFmtId="165" fontId="2" fillId="25" borderId="0" xfId="0" applyNumberFormat="1" applyFont="1" applyFill="1" applyProtection="1">
      <protection hidden="1"/>
    </xf>
    <xf numFmtId="2" fontId="17" fillId="25" borderId="0" xfId="0" applyNumberFormat="1" applyFont="1" applyFill="1" applyProtection="1">
      <protection hidden="1"/>
    </xf>
    <xf numFmtId="0" fontId="14" fillId="25" borderId="0" xfId="43" applyFont="1" applyFill="1" applyAlignment="1" applyProtection="1">
      <alignment horizontal="left"/>
      <protection hidden="1"/>
    </xf>
    <xf numFmtId="0" fontId="11" fillId="25" borderId="11" xfId="0" applyFont="1" applyFill="1" applyBorder="1" applyAlignment="1" applyProtection="1">
      <alignment horizontal="right"/>
      <protection hidden="1"/>
    </xf>
    <xf numFmtId="164" fontId="49" fillId="28" borderId="18" xfId="0" applyNumberFormat="1" applyFont="1" applyFill="1" applyBorder="1" applyAlignment="1" applyProtection="1">
      <alignment horizontal="center"/>
      <protection locked="0"/>
    </xf>
    <xf numFmtId="0" fontId="18" fillId="0" borderId="18" xfId="43" applyFont="1" applyBorder="1" applyAlignment="1" applyProtection="1">
      <alignment horizontal="center"/>
      <protection hidden="1"/>
    </xf>
    <xf numFmtId="0" fontId="8" fillId="25" borderId="0" xfId="43" applyFont="1" applyFill="1" applyProtection="1">
      <protection hidden="1"/>
    </xf>
    <xf numFmtId="0" fontId="49" fillId="25" borderId="0" xfId="0" applyFont="1" applyFill="1" applyAlignment="1" applyProtection="1">
      <alignment horizontal="center"/>
      <protection hidden="1"/>
    </xf>
    <xf numFmtId="165" fontId="49" fillId="25" borderId="0" xfId="0" applyNumberFormat="1" applyFont="1" applyFill="1" applyAlignment="1" applyProtection="1">
      <alignment horizontal="center"/>
      <protection hidden="1"/>
    </xf>
    <xf numFmtId="0" fontId="49" fillId="27" borderId="0" xfId="0" applyFont="1" applyFill="1" applyAlignment="1" applyProtection="1">
      <alignment horizontal="center"/>
      <protection hidden="1"/>
    </xf>
    <xf numFmtId="0" fontId="19" fillId="27" borderId="24" xfId="43" applyFont="1" applyFill="1" applyBorder="1" applyAlignment="1" applyProtection="1">
      <alignment horizontal="centerContinuous" vertical="justify"/>
      <protection hidden="1"/>
    </xf>
    <xf numFmtId="0" fontId="2" fillId="27" borderId="10" xfId="43" applyFont="1" applyFill="1" applyBorder="1" applyAlignment="1" applyProtection="1">
      <alignment horizontal="centerContinuous" vertical="justify"/>
      <protection hidden="1"/>
    </xf>
    <xf numFmtId="165" fontId="49" fillId="25" borderId="0" xfId="0" applyNumberFormat="1" applyFont="1" applyFill="1" applyAlignment="1" applyProtection="1">
      <alignment horizontal="left"/>
      <protection hidden="1"/>
    </xf>
    <xf numFmtId="0" fontId="2" fillId="25" borderId="0" xfId="0" applyFont="1" applyFill="1" applyAlignment="1" applyProtection="1">
      <alignment vertical="justify"/>
      <protection hidden="1"/>
    </xf>
    <xf numFmtId="0" fontId="2" fillId="27" borderId="18" xfId="43" applyFont="1" applyFill="1" applyBorder="1" applyAlignment="1" applyProtection="1">
      <alignment horizontal="center"/>
      <protection hidden="1"/>
    </xf>
    <xf numFmtId="0" fontId="50" fillId="25" borderId="0" xfId="0" applyFont="1" applyFill="1" applyAlignment="1" applyProtection="1">
      <alignment horizontal="right"/>
      <protection hidden="1"/>
    </xf>
    <xf numFmtId="0" fontId="49" fillId="25" borderId="0" xfId="0" applyFont="1" applyFill="1" applyAlignment="1" applyProtection="1">
      <alignment horizontal="left"/>
      <protection hidden="1"/>
    </xf>
    <xf numFmtId="0" fontId="49" fillId="25" borderId="0" xfId="0" applyFont="1" applyFill="1" applyAlignment="1" applyProtection="1">
      <alignment horizontal="centerContinuous"/>
      <protection hidden="1"/>
    </xf>
    <xf numFmtId="0" fontId="17" fillId="0" borderId="0" xfId="0" applyFont="1" applyProtection="1">
      <protection hidden="1"/>
    </xf>
    <xf numFmtId="164" fontId="49" fillId="27" borderId="0" xfId="0" applyNumberFormat="1" applyFont="1" applyFill="1" applyAlignment="1" applyProtection="1">
      <alignment horizontal="center"/>
      <protection hidden="1"/>
    </xf>
    <xf numFmtId="2" fontId="49" fillId="25" borderId="0" xfId="0" applyNumberFormat="1" applyFont="1" applyFill="1" applyAlignment="1" applyProtection="1">
      <alignment horizontal="center"/>
      <protection hidden="1"/>
    </xf>
    <xf numFmtId="0" fontId="18" fillId="25" borderId="0" xfId="43" applyFont="1" applyFill="1" applyProtection="1">
      <protection hidden="1"/>
    </xf>
    <xf numFmtId="0" fontId="23" fillId="25" borderId="0" xfId="43" applyFont="1" applyFill="1" applyAlignment="1" applyProtection="1">
      <alignment horizontal="left"/>
      <protection hidden="1"/>
    </xf>
    <xf numFmtId="0" fontId="18" fillId="25" borderId="0" xfId="43" applyFont="1" applyFill="1" applyAlignment="1" applyProtection="1">
      <alignment horizontal="centerContinuous"/>
      <protection hidden="1"/>
    </xf>
    <xf numFmtId="0" fontId="17" fillId="25" borderId="0" xfId="0" applyFont="1" applyFill="1" applyAlignment="1" applyProtection="1">
      <alignment horizontal="centerContinuous"/>
      <protection hidden="1"/>
    </xf>
    <xf numFmtId="0" fontId="51" fillId="25" borderId="19" xfId="0" applyFont="1" applyFill="1" applyBorder="1" applyAlignment="1" applyProtection="1">
      <alignment horizontal="centerContinuous"/>
      <protection hidden="1"/>
    </xf>
    <xf numFmtId="165" fontId="51" fillId="25" borderId="16" xfId="0" applyNumberFormat="1" applyFont="1" applyFill="1" applyBorder="1" applyAlignment="1" applyProtection="1">
      <alignment horizontal="centerContinuous"/>
      <protection hidden="1"/>
    </xf>
    <xf numFmtId="164" fontId="51" fillId="25" borderId="16" xfId="0" applyNumberFormat="1" applyFont="1" applyFill="1" applyBorder="1" applyAlignment="1" applyProtection="1">
      <alignment horizontal="centerContinuous"/>
      <protection hidden="1"/>
    </xf>
    <xf numFmtId="164" fontId="51" fillId="27" borderId="17" xfId="0" applyNumberFormat="1" applyFont="1" applyFill="1" applyBorder="1" applyAlignment="1" applyProtection="1">
      <alignment horizontal="centerContinuous"/>
      <protection hidden="1"/>
    </xf>
    <xf numFmtId="164" fontId="51" fillId="25" borderId="17" xfId="0" applyNumberFormat="1" applyFont="1" applyFill="1" applyBorder="1" applyAlignment="1" applyProtection="1">
      <alignment horizontal="centerContinuous"/>
      <protection hidden="1"/>
    </xf>
    <xf numFmtId="0" fontId="18" fillId="25" borderId="0" xfId="43" applyFont="1" applyFill="1" applyAlignment="1" applyProtection="1">
      <alignment horizontal="right"/>
      <protection hidden="1"/>
    </xf>
    <xf numFmtId="164" fontId="18" fillId="25" borderId="0" xfId="43" applyNumberFormat="1" applyFont="1" applyFill="1" applyAlignment="1" applyProtection="1">
      <alignment horizontal="center"/>
      <protection hidden="1"/>
    </xf>
    <xf numFmtId="0" fontId="51" fillId="25" borderId="18" xfId="0" applyFont="1" applyFill="1" applyBorder="1" applyAlignment="1" applyProtection="1">
      <alignment horizontal="center"/>
      <protection hidden="1"/>
    </xf>
    <xf numFmtId="165" fontId="51" fillId="25" borderId="18" xfId="0" applyNumberFormat="1" applyFont="1" applyFill="1" applyBorder="1" applyAlignment="1" applyProtection="1">
      <alignment horizontal="center"/>
      <protection hidden="1"/>
    </xf>
    <xf numFmtId="164" fontId="51" fillId="27" borderId="18" xfId="0" applyNumberFormat="1" applyFont="1" applyFill="1" applyBorder="1" applyAlignment="1" applyProtection="1">
      <alignment horizontal="center"/>
      <protection hidden="1"/>
    </xf>
    <xf numFmtId="0" fontId="42" fillId="25" borderId="0" xfId="0" applyFont="1" applyFill="1" applyProtection="1">
      <protection hidden="1"/>
    </xf>
    <xf numFmtId="1" fontId="18" fillId="25" borderId="21" xfId="43" applyNumberFormat="1" applyFont="1" applyFill="1" applyBorder="1" applyAlignment="1" applyProtection="1">
      <alignment horizontal="center"/>
      <protection hidden="1"/>
    </xf>
    <xf numFmtId="165" fontId="18" fillId="25" borderId="21" xfId="43" applyNumberFormat="1" applyFont="1" applyFill="1" applyBorder="1" applyAlignment="1" applyProtection="1">
      <alignment horizontal="center"/>
      <protection hidden="1"/>
    </xf>
    <xf numFmtId="164" fontId="18" fillId="25" borderId="21" xfId="43" applyNumberFormat="1" applyFont="1" applyFill="1" applyBorder="1" applyAlignment="1" applyProtection="1">
      <alignment horizontal="center"/>
      <protection hidden="1"/>
    </xf>
    <xf numFmtId="2" fontId="18" fillId="25" borderId="21" xfId="43" applyNumberFormat="1" applyFont="1" applyFill="1" applyBorder="1" applyAlignment="1" applyProtection="1">
      <alignment horizontal="center"/>
      <protection hidden="1"/>
    </xf>
    <xf numFmtId="165" fontId="51" fillId="25" borderId="0" xfId="0" applyNumberFormat="1" applyFont="1" applyFill="1" applyAlignment="1" applyProtection="1">
      <alignment horizontal="center"/>
      <protection hidden="1"/>
    </xf>
    <xf numFmtId="2" fontId="51" fillId="25" borderId="0" xfId="0" applyNumberFormat="1" applyFont="1" applyFill="1" applyAlignment="1" applyProtection="1">
      <alignment horizontal="right"/>
      <protection hidden="1"/>
    </xf>
    <xf numFmtId="1" fontId="18" fillId="25" borderId="22" xfId="43" applyNumberFormat="1" applyFont="1" applyFill="1" applyBorder="1" applyAlignment="1" applyProtection="1">
      <alignment horizontal="center"/>
      <protection hidden="1"/>
    </xf>
    <xf numFmtId="165" fontId="18" fillId="25" borderId="22" xfId="43" applyNumberFormat="1" applyFont="1" applyFill="1" applyBorder="1" applyAlignment="1" applyProtection="1">
      <alignment horizontal="center"/>
      <protection hidden="1"/>
    </xf>
    <xf numFmtId="164" fontId="18" fillId="25" borderId="22" xfId="43" applyNumberFormat="1" applyFont="1" applyFill="1" applyBorder="1" applyAlignment="1" applyProtection="1">
      <alignment horizontal="center"/>
      <protection hidden="1"/>
    </xf>
    <xf numFmtId="2" fontId="18" fillId="25" borderId="22" xfId="43" applyNumberFormat="1" applyFont="1" applyFill="1" applyBorder="1" applyAlignment="1" applyProtection="1">
      <alignment horizontal="center"/>
      <protection hidden="1"/>
    </xf>
    <xf numFmtId="165" fontId="52" fillId="25" borderId="0" xfId="0" applyNumberFormat="1" applyFont="1" applyFill="1" applyAlignment="1" applyProtection="1">
      <alignment horizontal="center"/>
      <protection hidden="1"/>
    </xf>
    <xf numFmtId="1" fontId="18" fillId="25" borderId="0" xfId="43" applyNumberFormat="1" applyFont="1" applyFill="1" applyAlignment="1" applyProtection="1">
      <alignment horizontal="center"/>
      <protection hidden="1"/>
    </xf>
    <xf numFmtId="0" fontId="18" fillId="25" borderId="0" xfId="43" applyFont="1" applyFill="1" applyAlignment="1" applyProtection="1">
      <alignment horizontal="center"/>
      <protection hidden="1"/>
    </xf>
    <xf numFmtId="1" fontId="18" fillId="25" borderId="23" xfId="43" applyNumberFormat="1" applyFont="1" applyFill="1" applyBorder="1" applyAlignment="1" applyProtection="1">
      <alignment horizontal="center"/>
      <protection hidden="1"/>
    </xf>
    <xf numFmtId="165" fontId="18" fillId="25" borderId="23" xfId="43" applyNumberFormat="1" applyFont="1" applyFill="1" applyBorder="1" applyAlignment="1" applyProtection="1">
      <alignment horizontal="center"/>
      <protection hidden="1"/>
    </xf>
    <xf numFmtId="164" fontId="18" fillId="25" borderId="23" xfId="43" applyNumberFormat="1" applyFont="1" applyFill="1" applyBorder="1" applyAlignment="1" applyProtection="1">
      <alignment horizontal="center"/>
      <protection hidden="1"/>
    </xf>
    <xf numFmtId="2" fontId="18" fillId="25" borderId="23" xfId="43" applyNumberFormat="1" applyFont="1" applyFill="1" applyBorder="1" applyAlignment="1" applyProtection="1">
      <alignment horizontal="center"/>
      <protection hidden="1"/>
    </xf>
    <xf numFmtId="0" fontId="51" fillId="25" borderId="0" xfId="0" applyFont="1" applyFill="1" applyAlignment="1" applyProtection="1">
      <alignment horizontal="center"/>
      <protection hidden="1"/>
    </xf>
    <xf numFmtId="165" fontId="49" fillId="25" borderId="0" xfId="0" applyNumberFormat="1" applyFont="1" applyFill="1" applyProtection="1">
      <protection hidden="1"/>
    </xf>
    <xf numFmtId="0" fontId="17" fillId="27" borderId="0" xfId="0" applyFont="1" applyFill="1" applyAlignment="1" applyProtection="1">
      <alignment horizontal="center"/>
      <protection hidden="1"/>
    </xf>
    <xf numFmtId="0" fontId="49" fillId="25" borderId="0" xfId="0" quotePrefix="1" applyFont="1" applyFill="1" applyAlignment="1" applyProtection="1">
      <alignment horizontal="center"/>
      <protection hidden="1"/>
    </xf>
    <xf numFmtId="0" fontId="49" fillId="25" borderId="0" xfId="0" applyFont="1" applyFill="1" applyAlignment="1" applyProtection="1">
      <alignment horizontal="right"/>
      <protection hidden="1"/>
    </xf>
    <xf numFmtId="164" fontId="49" fillId="25" borderId="18" xfId="0" applyNumberFormat="1" applyFont="1" applyFill="1" applyBorder="1" applyAlignment="1" applyProtection="1">
      <alignment horizontal="center"/>
      <protection hidden="1"/>
    </xf>
    <xf numFmtId="0" fontId="49" fillId="25" borderId="0" xfId="0" quotePrefix="1" applyFont="1" applyFill="1" applyProtection="1">
      <protection hidden="1"/>
    </xf>
    <xf numFmtId="2" fontId="1" fillId="27" borderId="18" xfId="43" applyNumberFormat="1" applyFont="1" applyFill="1" applyBorder="1" applyAlignment="1" applyProtection="1">
      <alignment horizontal="center"/>
      <protection hidden="1"/>
    </xf>
    <xf numFmtId="2" fontId="1" fillId="27" borderId="14" xfId="43" applyNumberFormat="1" applyFont="1" applyFill="1" applyBorder="1" applyAlignment="1" applyProtection="1">
      <alignment horizontal="center"/>
      <protection hidden="1"/>
    </xf>
    <xf numFmtId="0" fontId="53" fillId="25" borderId="0" xfId="0" applyFont="1" applyFill="1" applyProtection="1">
      <protection locked="0"/>
    </xf>
    <xf numFmtId="0" fontId="53" fillId="25" borderId="0" xfId="0" applyFont="1" applyFill="1" applyProtection="1">
      <protection hidden="1"/>
    </xf>
    <xf numFmtId="18" fontId="49" fillId="25" borderId="0" xfId="0" applyNumberFormat="1" applyFont="1" applyFill="1" applyProtection="1">
      <protection hidden="1"/>
    </xf>
    <xf numFmtId="0" fontId="49" fillId="25" borderId="12" xfId="0" applyFont="1" applyFill="1" applyBorder="1" applyProtection="1">
      <protection hidden="1"/>
    </xf>
    <xf numFmtId="0" fontId="0" fillId="0" borderId="0" xfId="0" applyAlignment="1">
      <alignment horizontal="center" vertical="center"/>
    </xf>
    <xf numFmtId="0" fontId="56" fillId="0" borderId="0" xfId="0" applyFont="1"/>
    <xf numFmtId="164" fontId="56" fillId="0" borderId="0" xfId="0" applyNumberFormat="1" applyFont="1"/>
    <xf numFmtId="0" fontId="58" fillId="29" borderId="18" xfId="0" applyFont="1" applyFill="1" applyBorder="1" applyAlignment="1">
      <alignment horizontal="center" vertical="center"/>
    </xf>
    <xf numFmtId="0" fontId="1" fillId="26" borderId="22" xfId="43" applyFont="1" applyFill="1" applyBorder="1" applyAlignment="1" applyProtection="1">
      <alignment horizontal="center"/>
      <protection locked="0"/>
    </xf>
    <xf numFmtId="169" fontId="59" fillId="0" borderId="0" xfId="43" applyNumberFormat="1" applyFont="1" applyAlignment="1">
      <alignment horizontal="center" vertical="center"/>
    </xf>
    <xf numFmtId="1" fontId="0" fillId="0" borderId="0" xfId="0" applyNumberFormat="1" applyAlignment="1">
      <alignment horizontal="right"/>
    </xf>
    <xf numFmtId="169" fontId="0" fillId="0" borderId="0" xfId="0" applyNumberFormat="1" applyAlignment="1">
      <alignment horizontal="right"/>
    </xf>
    <xf numFmtId="0" fontId="56" fillId="0" borderId="0" xfId="0" applyFont="1" applyAlignment="1">
      <alignment horizontal="center" vertical="center"/>
    </xf>
    <xf numFmtId="169" fontId="59" fillId="0" borderId="0" xfId="43" applyNumberFormat="1" applyFont="1" applyAlignment="1">
      <alignment horizontal="center" vertical="center" wrapText="1"/>
    </xf>
    <xf numFmtId="164" fontId="60" fillId="25" borderId="0" xfId="0" applyNumberFormat="1" applyFont="1" applyFill="1" applyAlignment="1" applyProtection="1">
      <alignment horizontal="right"/>
      <protection hidden="1"/>
    </xf>
    <xf numFmtId="0" fontId="17" fillId="0" borderId="0" xfId="0" applyFont="1" applyAlignment="1">
      <alignment wrapText="1"/>
    </xf>
    <xf numFmtId="0" fontId="62" fillId="25" borderId="18" xfId="0" applyFont="1" applyFill="1" applyBorder="1" applyAlignment="1" applyProtection="1">
      <alignment horizontal="right"/>
      <protection hidden="1"/>
    </xf>
    <xf numFmtId="164" fontId="63" fillId="25" borderId="18" xfId="0" applyNumberFormat="1" applyFont="1" applyFill="1" applyBorder="1" applyAlignment="1" applyProtection="1">
      <alignment horizontal="center"/>
      <protection hidden="1"/>
    </xf>
    <xf numFmtId="0" fontId="57" fillId="0" borderId="0" xfId="0" applyFont="1" applyAlignment="1">
      <alignment horizontal="center" vertical="center" wrapText="1"/>
    </xf>
    <xf numFmtId="164" fontId="56" fillId="0" borderId="0" xfId="0" applyNumberFormat="1" applyFont="1" applyAlignment="1">
      <alignment horizontal="center" vertical="center"/>
    </xf>
    <xf numFmtId="1" fontId="1" fillId="26" borderId="23" xfId="43" applyNumberFormat="1" applyFont="1" applyFill="1" applyBorder="1" applyAlignment="1" applyProtection="1">
      <alignment horizontal="center"/>
      <protection locked="0"/>
    </xf>
    <xf numFmtId="167" fontId="1" fillId="25" borderId="22" xfId="43" applyNumberFormat="1" applyFont="1" applyFill="1" applyBorder="1" applyAlignment="1" applyProtection="1">
      <alignment horizontal="center"/>
      <protection hidden="1"/>
    </xf>
    <xf numFmtId="167" fontId="1" fillId="25" borderId="21" xfId="43" applyNumberFormat="1" applyFont="1" applyFill="1" applyBorder="1" applyAlignment="1" applyProtection="1">
      <alignment horizontal="center"/>
      <protection hidden="1"/>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0" xfId="28" xr:uid="{036A0847-D65F-43C2-8746-BCAAA87419E1}"/>
    <cellStyle name="Currency0" xfId="29" xr:uid="{996D7AA4-B8A7-4E6B-B96A-8D449C73F0CD}"/>
    <cellStyle name="Date" xfId="30" xr:uid="{FA40F1A9-945B-45FF-863B-8BC3D7FB28FA}"/>
    <cellStyle name="Explanatory Text" xfId="31" builtinId="53" customBuiltin="1"/>
    <cellStyle name="Fixed" xfId="32" xr:uid="{BD52BB6B-1F29-472F-B9EF-79A1E8A5E8FD}"/>
    <cellStyle name="Good" xfId="33" builtinId="26" customBuiltin="1"/>
    <cellStyle name="Heading 1" xfId="34" builtinId="16" customBuiltin="1"/>
    <cellStyle name="Heading 2" xfId="35" builtinId="17" customBuiltin="1"/>
    <cellStyle name="Heading 3" xfId="36" builtinId="18" customBuiltin="1"/>
    <cellStyle name="Heading 4" xfId="37" builtinId="19" customBuiltin="1"/>
    <cellStyle name="Hyperlink 2" xfId="38" xr:uid="{B7CB4D17-C684-42AD-9694-59BF3AFBF6C4}"/>
    <cellStyle name="Input" xfId="39" builtinId="20" customBuiltin="1"/>
    <cellStyle name="Linked Cell" xfId="40" builtinId="24" customBuiltin="1"/>
    <cellStyle name="Neutral" xfId="41" builtinId="28" customBuiltin="1"/>
    <cellStyle name="Normal" xfId="0" builtinId="0"/>
    <cellStyle name="Normal 2" xfId="42" xr:uid="{A544B6E5-48E2-4343-A2B0-C691552705B3}"/>
    <cellStyle name="Normal 2 2" xfId="43" xr:uid="{FF28D9DF-6CC3-4816-872D-D7F39E46C6AC}"/>
    <cellStyle name="Note" xfId="44" builtinId="10" customBuiltin="1"/>
    <cellStyle name="Output" xfId="45" builtinId="21" customBuiltin="1"/>
    <cellStyle name="Percent 2" xfId="46" xr:uid="{FFD9A199-D4BC-418C-8E24-7350559017EC}"/>
    <cellStyle name="Title" xfId="47" builtinId="15" customBuiltin="1"/>
    <cellStyle name="Total" xfId="48" builtinId="25" customBuiltin="1"/>
    <cellStyle name="Warning Text" xfId="49" builtinId="11" customBuiltin="1"/>
  </cellStyles>
  <dxfs count="5">
    <dxf>
      <fill>
        <patternFill>
          <bgColor rgb="FFFF0000"/>
        </patternFill>
      </fill>
    </dxf>
    <dxf>
      <font>
        <color rgb="FF9C0006"/>
      </font>
      <fill>
        <patternFill>
          <bgColor rgb="FFFFC7CE"/>
        </patternFill>
      </fill>
    </dxf>
    <dxf>
      <font>
        <color rgb="FF9C0006"/>
      </font>
    </dxf>
    <dxf>
      <fill>
        <patternFill>
          <bgColor rgb="FFFF0000"/>
        </patternFill>
      </fill>
    </dxf>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sng" strike="noStrike" baseline="0">
                <a:solidFill>
                  <a:srgbClr val="000000"/>
                </a:solidFill>
                <a:latin typeface="Calibri"/>
                <a:ea typeface="Calibri"/>
                <a:cs typeface="Calibri"/>
              </a:defRPr>
            </a:pPr>
            <a:r>
              <a:rPr lang="en-SG"/>
              <a:t>Octagonal Footing Plan</a:t>
            </a:r>
          </a:p>
        </c:rich>
      </c:tx>
      <c:layout>
        <c:manualLayout>
          <c:xMode val="edge"/>
          <c:yMode val="edge"/>
          <c:x val="0.21955366234958335"/>
          <c:y val="0.93030427729197174"/>
        </c:manualLayout>
      </c:layout>
      <c:overlay val="0"/>
    </c:title>
    <c:autoTitleDeleted val="0"/>
    <c:plotArea>
      <c:layout>
        <c:manualLayout>
          <c:layoutTarget val="inner"/>
          <c:xMode val="edge"/>
          <c:yMode val="edge"/>
          <c:x val="2.9143897996357013E-2"/>
          <c:y val="5.5687888260198644E-3"/>
          <c:w val="0.90335441676347839"/>
          <c:h val="0.82610559358472146"/>
        </c:manualLayout>
      </c:layout>
      <c:scatterChart>
        <c:scatterStyle val="lineMarker"/>
        <c:varyColors val="0"/>
        <c:ser>
          <c:idx val="0"/>
          <c:order val="0"/>
          <c:tx>
            <c:v>Octagonal Footing Base</c:v>
          </c:tx>
          <c:spPr>
            <a:ln>
              <a:solidFill>
                <a:schemeClr val="tx1"/>
              </a:solidFill>
            </a:ln>
          </c:spPr>
          <c:marker>
            <c:symbol val="none"/>
          </c:marker>
          <c:xVal>
            <c:numRef>
              <c:f>'Octagonal Footing'!$AW$8:$BE$8</c:f>
              <c:numCache>
                <c:formatCode>0.0000</c:formatCode>
                <c:ptCount val="9"/>
                <c:pt idx="0">
                  <c:v>4.6542864612572936</c:v>
                </c:pt>
                <c:pt idx="1">
                  <c:v>3.2910775183397716</c:v>
                </c:pt>
                <c:pt idx="2">
                  <c:v>0</c:v>
                </c:pt>
                <c:pt idx="3">
                  <c:v>-3.2910775183397716</c:v>
                </c:pt>
                <c:pt idx="4">
                  <c:v>-4.6542864612572936</c:v>
                </c:pt>
                <c:pt idx="5">
                  <c:v>-3.2910775183397716</c:v>
                </c:pt>
                <c:pt idx="6">
                  <c:v>0</c:v>
                </c:pt>
                <c:pt idx="7">
                  <c:v>3.2910775183397716</c:v>
                </c:pt>
                <c:pt idx="8">
                  <c:v>4.6542864612572936</c:v>
                </c:pt>
              </c:numCache>
            </c:numRef>
          </c:xVal>
          <c:yVal>
            <c:numRef>
              <c:f>'Octagonal Footing'!$AW$9:$BE$9</c:f>
              <c:numCache>
                <c:formatCode>0.0000</c:formatCode>
                <c:ptCount val="9"/>
                <c:pt idx="0">
                  <c:v>0</c:v>
                </c:pt>
                <c:pt idx="1">
                  <c:v>3.291077518339772</c:v>
                </c:pt>
                <c:pt idx="2">
                  <c:v>4.6542864612572936</c:v>
                </c:pt>
                <c:pt idx="3">
                  <c:v>3.291077518339772</c:v>
                </c:pt>
                <c:pt idx="4">
                  <c:v>0</c:v>
                </c:pt>
                <c:pt idx="5">
                  <c:v>-3.291077518339772</c:v>
                </c:pt>
                <c:pt idx="6">
                  <c:v>-4.6542864612572936</c:v>
                </c:pt>
                <c:pt idx="7">
                  <c:v>-3.291077518339772</c:v>
                </c:pt>
                <c:pt idx="8">
                  <c:v>0</c:v>
                </c:pt>
              </c:numCache>
            </c:numRef>
          </c:yVal>
          <c:smooth val="0"/>
          <c:extLst>
            <c:ext xmlns:c16="http://schemas.microsoft.com/office/drawing/2014/chart" uri="{C3380CC4-5D6E-409C-BE32-E72D297353CC}">
              <c16:uniqueId val="{00000000-9B7F-4A91-A6C6-A17D1F359F17}"/>
            </c:ext>
          </c:extLst>
        </c:ser>
        <c:ser>
          <c:idx val="1"/>
          <c:order val="1"/>
          <c:tx>
            <c:v>Octagonal Pier</c:v>
          </c:tx>
          <c:spPr>
            <a:ln w="19050">
              <a:solidFill>
                <a:schemeClr val="tx1"/>
              </a:solidFill>
            </a:ln>
          </c:spPr>
          <c:marker>
            <c:symbol val="none"/>
          </c:marker>
          <c:xVal>
            <c:numRef>
              <c:f>'Octagonal Footing'!$AW$10:$BE$10</c:f>
              <c:numCache>
                <c:formatCode>0.0000</c:formatCode>
                <c:ptCount val="9"/>
                <c:pt idx="0">
                  <c:v>4.6542864612572936</c:v>
                </c:pt>
                <c:pt idx="1">
                  <c:v>3.2910775183397716</c:v>
                </c:pt>
                <c:pt idx="2">
                  <c:v>0</c:v>
                </c:pt>
                <c:pt idx="3">
                  <c:v>-3.2910775183397716</c:v>
                </c:pt>
                <c:pt idx="4">
                  <c:v>-4.6542864612572936</c:v>
                </c:pt>
                <c:pt idx="5">
                  <c:v>-3.2910775183397716</c:v>
                </c:pt>
                <c:pt idx="6">
                  <c:v>0</c:v>
                </c:pt>
                <c:pt idx="7">
                  <c:v>3.2910775183397716</c:v>
                </c:pt>
                <c:pt idx="8">
                  <c:v>4.6542864612572936</c:v>
                </c:pt>
              </c:numCache>
            </c:numRef>
          </c:xVal>
          <c:yVal>
            <c:numRef>
              <c:f>'Octagonal Footing'!$AW$11:$BE$11</c:f>
              <c:numCache>
                <c:formatCode>0.0000</c:formatCode>
                <c:ptCount val="9"/>
                <c:pt idx="0">
                  <c:v>0</c:v>
                </c:pt>
                <c:pt idx="1">
                  <c:v>3.291077518339772</c:v>
                </c:pt>
                <c:pt idx="2">
                  <c:v>4.6542864612572936</c:v>
                </c:pt>
                <c:pt idx="3">
                  <c:v>3.291077518339772</c:v>
                </c:pt>
                <c:pt idx="4">
                  <c:v>0</c:v>
                </c:pt>
                <c:pt idx="5">
                  <c:v>-3.291077518339772</c:v>
                </c:pt>
                <c:pt idx="6">
                  <c:v>-4.6542864612572936</c:v>
                </c:pt>
                <c:pt idx="7">
                  <c:v>-3.291077518339772</c:v>
                </c:pt>
                <c:pt idx="8">
                  <c:v>0</c:v>
                </c:pt>
              </c:numCache>
            </c:numRef>
          </c:yVal>
          <c:smooth val="0"/>
          <c:extLst>
            <c:ext xmlns:c16="http://schemas.microsoft.com/office/drawing/2014/chart" uri="{C3380CC4-5D6E-409C-BE32-E72D297353CC}">
              <c16:uniqueId val="{00000001-9B7F-4A91-A6C6-A17D1F359F17}"/>
            </c:ext>
          </c:extLst>
        </c:ser>
        <c:ser>
          <c:idx val="2"/>
          <c:order val="2"/>
          <c:tx>
            <c:v>Resultant of Loads</c:v>
          </c:tx>
          <c:spPr>
            <a:ln>
              <a:noFill/>
            </a:ln>
          </c:spPr>
          <c:marker>
            <c:symbol val="diamond"/>
            <c:size val="6"/>
            <c:spPr>
              <a:solidFill>
                <a:srgbClr val="00FFFF"/>
              </a:solidFill>
            </c:spPr>
          </c:marker>
          <c:xVal>
            <c:numRef>
              <c:f>'Octagonal Footing'!$AW$12</c:f>
              <c:numCache>
                <c:formatCode>0.0000</c:formatCode>
                <c:ptCount val="1"/>
                <c:pt idx="0">
                  <c:v>0.43448417024812253</c:v>
                </c:pt>
              </c:numCache>
            </c:numRef>
          </c:xVal>
          <c:yVal>
            <c:numRef>
              <c:f>'Octagonal Footing'!$AW$13</c:f>
              <c:numCache>
                <c:formatCode>0.0000</c:formatCode>
                <c:ptCount val="1"/>
                <c:pt idx="0">
                  <c:v>0</c:v>
                </c:pt>
              </c:numCache>
            </c:numRef>
          </c:yVal>
          <c:smooth val="0"/>
          <c:extLst>
            <c:ext xmlns:c16="http://schemas.microsoft.com/office/drawing/2014/chart" uri="{C3380CC4-5D6E-409C-BE32-E72D297353CC}">
              <c16:uniqueId val="{00000002-9B7F-4A91-A6C6-A17D1F359F17}"/>
            </c:ext>
          </c:extLst>
        </c:ser>
        <c:ser>
          <c:idx val="3"/>
          <c:order val="3"/>
          <c:tx>
            <c:v>Kern Area</c:v>
          </c:tx>
          <c:spPr>
            <a:ln w="15875">
              <a:solidFill>
                <a:srgbClr val="FF0000"/>
              </a:solidFill>
              <a:prstDash val="dash"/>
            </a:ln>
          </c:spPr>
          <c:marker>
            <c:symbol val="none"/>
          </c:marker>
          <c:xVal>
            <c:numRef>
              <c:f>'Octagonal Footing'!$AW$14:$BA$14</c:f>
              <c:numCache>
                <c:formatCode>0.0000</c:formatCode>
                <c:ptCount val="5"/>
                <c:pt idx="0">
                  <c:v>0</c:v>
                </c:pt>
                <c:pt idx="1">
                  <c:v>1.05006</c:v>
                </c:pt>
                <c:pt idx="2">
                  <c:v>0</c:v>
                </c:pt>
                <c:pt idx="3">
                  <c:v>-1.05006</c:v>
                </c:pt>
                <c:pt idx="4">
                  <c:v>0</c:v>
                </c:pt>
              </c:numCache>
            </c:numRef>
          </c:xVal>
          <c:yVal>
            <c:numRef>
              <c:f>'Octagonal Footing'!$AW$15:$BA$15</c:f>
              <c:numCache>
                <c:formatCode>0.0000</c:formatCode>
                <c:ptCount val="5"/>
                <c:pt idx="0">
                  <c:v>1.05006</c:v>
                </c:pt>
                <c:pt idx="1">
                  <c:v>0</c:v>
                </c:pt>
                <c:pt idx="2">
                  <c:v>-1.05006</c:v>
                </c:pt>
                <c:pt idx="3">
                  <c:v>0</c:v>
                </c:pt>
                <c:pt idx="4">
                  <c:v>1.05006</c:v>
                </c:pt>
              </c:numCache>
            </c:numRef>
          </c:yVal>
          <c:smooth val="0"/>
          <c:extLst>
            <c:ext xmlns:c16="http://schemas.microsoft.com/office/drawing/2014/chart" uri="{C3380CC4-5D6E-409C-BE32-E72D297353CC}">
              <c16:uniqueId val="{00000003-9B7F-4A91-A6C6-A17D1F359F17}"/>
            </c:ext>
          </c:extLst>
        </c:ser>
        <c:ser>
          <c:idx val="4"/>
          <c:order val="4"/>
          <c:tx>
            <c:v>Plot Scale Factor #1</c:v>
          </c:tx>
          <c:marker>
            <c:symbol val="none"/>
          </c:marker>
          <c:xVal>
            <c:numRef>
              <c:f>'Octagonal Footing'!$AW$16</c:f>
              <c:numCache>
                <c:formatCode>0</c:formatCode>
                <c:ptCount val="1"/>
                <c:pt idx="0">
                  <c:v>4.3999999999999995</c:v>
                </c:pt>
              </c:numCache>
            </c:numRef>
          </c:xVal>
          <c:yVal>
            <c:numRef>
              <c:f>'Octagonal Footing'!$AX$16</c:f>
              <c:numCache>
                <c:formatCode>General</c:formatCode>
                <c:ptCount val="1"/>
                <c:pt idx="0">
                  <c:v>4.3999999999999995</c:v>
                </c:pt>
              </c:numCache>
            </c:numRef>
          </c:yVal>
          <c:smooth val="0"/>
          <c:extLst>
            <c:ext xmlns:c16="http://schemas.microsoft.com/office/drawing/2014/chart" uri="{C3380CC4-5D6E-409C-BE32-E72D297353CC}">
              <c16:uniqueId val="{00000004-9B7F-4A91-A6C6-A17D1F359F17}"/>
            </c:ext>
          </c:extLst>
        </c:ser>
        <c:ser>
          <c:idx val="5"/>
          <c:order val="5"/>
          <c:tx>
            <c:v>Plot Scale Factor #2</c:v>
          </c:tx>
          <c:marker>
            <c:symbol val="none"/>
          </c:marker>
          <c:xVal>
            <c:numRef>
              <c:f>'Octagonal Footing'!$AW$17</c:f>
              <c:numCache>
                <c:formatCode>0</c:formatCode>
                <c:ptCount val="1"/>
                <c:pt idx="0">
                  <c:v>-4.3999999999999995</c:v>
                </c:pt>
              </c:numCache>
            </c:numRef>
          </c:xVal>
          <c:yVal>
            <c:numRef>
              <c:f>'Octagonal Footing'!$AX$17</c:f>
              <c:numCache>
                <c:formatCode>General</c:formatCode>
                <c:ptCount val="1"/>
                <c:pt idx="0">
                  <c:v>4.3999999999999995</c:v>
                </c:pt>
              </c:numCache>
            </c:numRef>
          </c:yVal>
          <c:smooth val="0"/>
          <c:extLst>
            <c:ext xmlns:c16="http://schemas.microsoft.com/office/drawing/2014/chart" uri="{C3380CC4-5D6E-409C-BE32-E72D297353CC}">
              <c16:uniqueId val="{00000005-9B7F-4A91-A6C6-A17D1F359F17}"/>
            </c:ext>
          </c:extLst>
        </c:ser>
        <c:ser>
          <c:idx val="6"/>
          <c:order val="6"/>
          <c:tx>
            <c:v>Plot Scale Factor #3</c:v>
          </c:tx>
          <c:marker>
            <c:symbol val="none"/>
          </c:marker>
          <c:xVal>
            <c:numRef>
              <c:f>'Octagonal Footing'!$AW$18</c:f>
              <c:numCache>
                <c:formatCode>0</c:formatCode>
                <c:ptCount val="1"/>
                <c:pt idx="0">
                  <c:v>-4.3999999999999995</c:v>
                </c:pt>
              </c:numCache>
            </c:numRef>
          </c:xVal>
          <c:yVal>
            <c:numRef>
              <c:f>'Octagonal Footing'!$AX$18</c:f>
              <c:numCache>
                <c:formatCode>General</c:formatCode>
                <c:ptCount val="1"/>
                <c:pt idx="0">
                  <c:v>-4.3999999999999995</c:v>
                </c:pt>
              </c:numCache>
            </c:numRef>
          </c:yVal>
          <c:smooth val="0"/>
          <c:extLst>
            <c:ext xmlns:c16="http://schemas.microsoft.com/office/drawing/2014/chart" uri="{C3380CC4-5D6E-409C-BE32-E72D297353CC}">
              <c16:uniqueId val="{00000006-9B7F-4A91-A6C6-A17D1F359F17}"/>
            </c:ext>
          </c:extLst>
        </c:ser>
        <c:ser>
          <c:idx val="7"/>
          <c:order val="7"/>
          <c:tx>
            <c:v>Plot Scale Factor #4</c:v>
          </c:tx>
          <c:marker>
            <c:symbol val="none"/>
          </c:marker>
          <c:xVal>
            <c:numRef>
              <c:f>'Octagonal Footing'!$AW$19</c:f>
              <c:numCache>
                <c:formatCode>0</c:formatCode>
                <c:ptCount val="1"/>
                <c:pt idx="0">
                  <c:v>4.3999999999999995</c:v>
                </c:pt>
              </c:numCache>
            </c:numRef>
          </c:xVal>
          <c:yVal>
            <c:numRef>
              <c:f>'Octagonal Footing'!$AX$19</c:f>
              <c:numCache>
                <c:formatCode>General</c:formatCode>
                <c:ptCount val="1"/>
                <c:pt idx="0">
                  <c:v>-4.3999999999999995</c:v>
                </c:pt>
              </c:numCache>
            </c:numRef>
          </c:yVal>
          <c:smooth val="0"/>
          <c:extLst>
            <c:ext xmlns:c16="http://schemas.microsoft.com/office/drawing/2014/chart" uri="{C3380CC4-5D6E-409C-BE32-E72D297353CC}">
              <c16:uniqueId val="{00000007-9B7F-4A91-A6C6-A17D1F359F17}"/>
            </c:ext>
          </c:extLst>
        </c:ser>
        <c:dLbls>
          <c:showLegendKey val="0"/>
          <c:showVal val="0"/>
          <c:showCatName val="0"/>
          <c:showSerName val="0"/>
          <c:showPercent val="0"/>
          <c:showBubbleSize val="0"/>
        </c:dLbls>
        <c:axId val="1265744863"/>
        <c:axId val="1"/>
      </c:scatterChart>
      <c:valAx>
        <c:axId val="1265744863"/>
        <c:scaling>
          <c:orientation val="minMax"/>
        </c:scaling>
        <c:delete val="0"/>
        <c:axPos val="b"/>
        <c:numFmt formatCode="0.0000" sourceLinked="1"/>
        <c:majorTickMark val="out"/>
        <c:minorTickMark val="cross"/>
        <c:tickLblPos val="none"/>
        <c:crossAx val="1"/>
        <c:crosses val="autoZero"/>
        <c:crossBetween val="midCat"/>
        <c:majorUnit val="1"/>
        <c:minorUnit val="1"/>
      </c:valAx>
      <c:valAx>
        <c:axId val="1"/>
        <c:scaling>
          <c:orientation val="minMax"/>
        </c:scaling>
        <c:delete val="0"/>
        <c:axPos val="l"/>
        <c:numFmt formatCode="0.0000" sourceLinked="1"/>
        <c:majorTickMark val="none"/>
        <c:minorTickMark val="cross"/>
        <c:tickLblPos val="none"/>
        <c:crossAx val="1265744863"/>
        <c:crosses val="autoZero"/>
        <c:crossBetween val="midCat"/>
        <c:majorUnit val="1"/>
        <c:minorUnit val="1"/>
      </c:valAx>
      <c:spPr>
        <a:noFill/>
        <a:ln w="25400">
          <a:noFill/>
        </a:ln>
      </c:spPr>
    </c:plotArea>
    <c:legend>
      <c:legendPos val="r"/>
      <c:legendEntry>
        <c:idx val="0"/>
        <c:delete val="1"/>
      </c:legendEntry>
      <c:legendEntry>
        <c:idx val="1"/>
        <c:delete val="1"/>
      </c:legendEntry>
      <c:legendEntry>
        <c:idx val="4"/>
        <c:delete val="1"/>
      </c:legendEntry>
      <c:legendEntry>
        <c:idx val="5"/>
        <c:delete val="1"/>
      </c:legendEntry>
      <c:legendEntry>
        <c:idx val="6"/>
        <c:delete val="1"/>
      </c:legendEntry>
      <c:legendEntry>
        <c:idx val="7"/>
        <c:delete val="1"/>
      </c:legendEntry>
      <c:layout>
        <c:manualLayout>
          <c:xMode val="edge"/>
          <c:yMode val="edge"/>
          <c:x val="0.61885145504352934"/>
          <c:y val="0.87313786781677416"/>
          <c:w val="0.37750555770692595"/>
          <c:h val="7.1445943628905662E-2"/>
        </c:manualLayout>
      </c:layout>
      <c:overlay val="0"/>
      <c:txPr>
        <a:bodyPr/>
        <a:lstStyle/>
        <a:p>
          <a:pPr>
            <a:defRPr sz="675"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SG"/>
              <a:t>"L" for Axis through Corners of Octagon</a:t>
            </a:r>
          </a:p>
        </c:rich>
      </c:tx>
      <c:overlay val="0"/>
    </c:title>
    <c:autoTitleDeleted val="0"/>
    <c:plotArea>
      <c:layout>
        <c:manualLayout>
          <c:layoutTarget val="inner"/>
          <c:xMode val="edge"/>
          <c:yMode val="edge"/>
          <c:x val="0.10683291486611896"/>
          <c:y val="9.1225060282098883E-2"/>
          <c:w val="0.6639331363406038"/>
          <c:h val="0.82366557838806731"/>
        </c:manualLayout>
      </c:layout>
      <c:scatterChart>
        <c:scatterStyle val="lineMarker"/>
        <c:varyColors val="0"/>
        <c:ser>
          <c:idx val="1"/>
          <c:order val="0"/>
          <c:tx>
            <c:v>"L"</c:v>
          </c:tx>
          <c:spPr>
            <a:ln w="28575">
              <a:noFill/>
            </a:ln>
          </c:spPr>
          <c:marker>
            <c:symbol val="square"/>
            <c:size val="4"/>
          </c:marker>
          <c:trendline>
            <c:trendlineType val="poly"/>
            <c:order val="5"/>
            <c:dispRSqr val="1"/>
            <c:dispEq val="1"/>
            <c:trendlineLbl>
              <c:layout>
                <c:manualLayout>
                  <c:x val="0.10412142762957276"/>
                  <c:y val="-6.672214753643599E-3"/>
                </c:manualLayout>
              </c:layout>
              <c:numFmt formatCode="General" sourceLinked="0"/>
              <c:txPr>
                <a:bodyPr/>
                <a:lstStyle/>
                <a:p>
                  <a:pPr>
                    <a:defRPr sz="1000" b="0" i="0" u="none" strike="noStrike" baseline="0">
                      <a:solidFill>
                        <a:srgbClr val="000000"/>
                      </a:solidFill>
                      <a:latin typeface="Calibri"/>
                      <a:ea typeface="Calibri"/>
                      <a:cs typeface="Calibri"/>
                    </a:defRPr>
                  </a:pPr>
                  <a:endParaRPr lang="en-US"/>
                </a:p>
              </c:txPr>
            </c:trendlineLbl>
          </c:trendline>
          <c:xVal>
            <c:numRef>
              <c:f>'Octagonal Footing'!$S$8:$S$54</c:f>
              <c:numCache>
                <c:formatCode>0.0000</c:formatCode>
                <c:ptCount val="47"/>
                <c:pt idx="0">
                  <c:v>0.1221</c:v>
                </c:pt>
                <c:pt idx="1">
                  <c:v>0.125</c:v>
                </c:pt>
                <c:pt idx="2">
                  <c:v>0.13</c:v>
                </c:pt>
                <c:pt idx="3">
                  <c:v>0.13500000000000001</c:v>
                </c:pt>
                <c:pt idx="4">
                  <c:v>0.14000000000000001</c:v>
                </c:pt>
                <c:pt idx="5">
                  <c:v>0.14500000000000002</c:v>
                </c:pt>
                <c:pt idx="6">
                  <c:v>0.15000000000000002</c:v>
                </c:pt>
                <c:pt idx="7">
                  <c:v>0.15500000000000003</c:v>
                </c:pt>
                <c:pt idx="8">
                  <c:v>0.16000000000000003</c:v>
                </c:pt>
                <c:pt idx="9">
                  <c:v>0.16500000000000004</c:v>
                </c:pt>
                <c:pt idx="10">
                  <c:v>0.17000000000000004</c:v>
                </c:pt>
                <c:pt idx="11">
                  <c:v>0.17500000000000004</c:v>
                </c:pt>
                <c:pt idx="12">
                  <c:v>0.18000000000000005</c:v>
                </c:pt>
                <c:pt idx="13">
                  <c:v>0.18500000000000005</c:v>
                </c:pt>
                <c:pt idx="14">
                  <c:v>0.19000000000000006</c:v>
                </c:pt>
                <c:pt idx="15">
                  <c:v>0.19500000000000006</c:v>
                </c:pt>
                <c:pt idx="16">
                  <c:v>0.20000000000000007</c:v>
                </c:pt>
                <c:pt idx="17">
                  <c:v>0.20500000000000007</c:v>
                </c:pt>
                <c:pt idx="18">
                  <c:v>0.21000000000000008</c:v>
                </c:pt>
                <c:pt idx="19">
                  <c:v>0.21500000000000008</c:v>
                </c:pt>
                <c:pt idx="20">
                  <c:v>0.22000000000000008</c:v>
                </c:pt>
                <c:pt idx="21">
                  <c:v>0.22500000000000009</c:v>
                </c:pt>
                <c:pt idx="22">
                  <c:v>0.23000000000000009</c:v>
                </c:pt>
                <c:pt idx="23">
                  <c:v>0.2350000000000001</c:v>
                </c:pt>
                <c:pt idx="24">
                  <c:v>0.2400000000000001</c:v>
                </c:pt>
                <c:pt idx="25">
                  <c:v>0.24500000000000011</c:v>
                </c:pt>
                <c:pt idx="26">
                  <c:v>0.25000000000000011</c:v>
                </c:pt>
                <c:pt idx="27">
                  <c:v>0.25500000000000012</c:v>
                </c:pt>
                <c:pt idx="28">
                  <c:v>0.26000000000000012</c:v>
                </c:pt>
                <c:pt idx="29">
                  <c:v>0.26500000000000001</c:v>
                </c:pt>
                <c:pt idx="30">
                  <c:v>0.27000000000000013</c:v>
                </c:pt>
                <c:pt idx="31">
                  <c:v>0.27500000000000013</c:v>
                </c:pt>
                <c:pt idx="32">
                  <c:v>0.28000000000000014</c:v>
                </c:pt>
                <c:pt idx="33">
                  <c:v>0.28500000000000014</c:v>
                </c:pt>
                <c:pt idx="34">
                  <c:v>0.29000000000000015</c:v>
                </c:pt>
                <c:pt idx="35">
                  <c:v>0.29500000000000015</c:v>
                </c:pt>
                <c:pt idx="36">
                  <c:v>0.30000000000000016</c:v>
                </c:pt>
                <c:pt idx="37">
                  <c:v>0.30500000000000016</c:v>
                </c:pt>
                <c:pt idx="38">
                  <c:v>0.31000000000000016</c:v>
                </c:pt>
                <c:pt idx="39">
                  <c:v>0.31500000000000017</c:v>
                </c:pt>
                <c:pt idx="40">
                  <c:v>0.32000000000000017</c:v>
                </c:pt>
                <c:pt idx="41">
                  <c:v>0.32500000000000018</c:v>
                </c:pt>
                <c:pt idx="42">
                  <c:v>0.33000000000000018</c:v>
                </c:pt>
                <c:pt idx="43">
                  <c:v>0.33500000000000019</c:v>
                </c:pt>
                <c:pt idx="44">
                  <c:v>0.34000000000000019</c:v>
                </c:pt>
                <c:pt idx="45">
                  <c:v>0.3450000000000002</c:v>
                </c:pt>
                <c:pt idx="46">
                  <c:v>0.3500000000000002</c:v>
                </c:pt>
              </c:numCache>
            </c:numRef>
          </c:xVal>
          <c:yVal>
            <c:numRef>
              <c:f>'Octagonal Footing'!$V$8:$V$54</c:f>
              <c:numCache>
                <c:formatCode>0.00</c:formatCode>
                <c:ptCount val="47"/>
                <c:pt idx="0">
                  <c:v>2</c:v>
                </c:pt>
                <c:pt idx="1">
                  <c:v>2.02</c:v>
                </c:pt>
                <c:pt idx="2">
                  <c:v>2.06</c:v>
                </c:pt>
                <c:pt idx="3">
                  <c:v>2.1</c:v>
                </c:pt>
                <c:pt idx="4">
                  <c:v>2.14</c:v>
                </c:pt>
                <c:pt idx="5">
                  <c:v>2.1800000000000002</c:v>
                </c:pt>
                <c:pt idx="6">
                  <c:v>2.23</c:v>
                </c:pt>
                <c:pt idx="7">
                  <c:v>2.2799999999999998</c:v>
                </c:pt>
                <c:pt idx="8">
                  <c:v>2.3199999999999998</c:v>
                </c:pt>
                <c:pt idx="9">
                  <c:v>2.36</c:v>
                </c:pt>
                <c:pt idx="10">
                  <c:v>2.4</c:v>
                </c:pt>
                <c:pt idx="11">
                  <c:v>2.44</c:v>
                </c:pt>
                <c:pt idx="12">
                  <c:v>2.5</c:v>
                </c:pt>
                <c:pt idx="13">
                  <c:v>2.58</c:v>
                </c:pt>
                <c:pt idx="14">
                  <c:v>2.63</c:v>
                </c:pt>
                <c:pt idx="15">
                  <c:v>2.71</c:v>
                </c:pt>
                <c:pt idx="16">
                  <c:v>2.78</c:v>
                </c:pt>
                <c:pt idx="17">
                  <c:v>2.83</c:v>
                </c:pt>
                <c:pt idx="18">
                  <c:v>2.9</c:v>
                </c:pt>
                <c:pt idx="19">
                  <c:v>2.97</c:v>
                </c:pt>
                <c:pt idx="20">
                  <c:v>3.03</c:v>
                </c:pt>
                <c:pt idx="21">
                  <c:v>3.09</c:v>
                </c:pt>
                <c:pt idx="22">
                  <c:v>3.18</c:v>
                </c:pt>
                <c:pt idx="23">
                  <c:v>3.28</c:v>
                </c:pt>
                <c:pt idx="24">
                  <c:v>3.37</c:v>
                </c:pt>
                <c:pt idx="25">
                  <c:v>3.45</c:v>
                </c:pt>
                <c:pt idx="26">
                  <c:v>3.54</c:v>
                </c:pt>
                <c:pt idx="27">
                  <c:v>3.64</c:v>
                </c:pt>
                <c:pt idx="28">
                  <c:v>3.73</c:v>
                </c:pt>
                <c:pt idx="29">
                  <c:v>3.83</c:v>
                </c:pt>
                <c:pt idx="30">
                  <c:v>3.93</c:v>
                </c:pt>
                <c:pt idx="31">
                  <c:v>4.0599999999999996</c:v>
                </c:pt>
                <c:pt idx="32">
                  <c:v>4.2</c:v>
                </c:pt>
                <c:pt idx="33">
                  <c:v>4.33</c:v>
                </c:pt>
                <c:pt idx="34">
                  <c:v>4.45</c:v>
                </c:pt>
                <c:pt idx="35">
                  <c:v>4.58</c:v>
                </c:pt>
                <c:pt idx="36">
                  <c:v>4.7</c:v>
                </c:pt>
                <c:pt idx="37">
                  <c:v>4.8499999999999996</c:v>
                </c:pt>
                <c:pt idx="38">
                  <c:v>5.03</c:v>
                </c:pt>
                <c:pt idx="39">
                  <c:v>5.23</c:v>
                </c:pt>
                <c:pt idx="40">
                  <c:v>5.41</c:v>
                </c:pt>
                <c:pt idx="41">
                  <c:v>5.6</c:v>
                </c:pt>
                <c:pt idx="42">
                  <c:v>5.8</c:v>
                </c:pt>
                <c:pt idx="43">
                  <c:v>6.05</c:v>
                </c:pt>
                <c:pt idx="44">
                  <c:v>6.38</c:v>
                </c:pt>
                <c:pt idx="45">
                  <c:v>6.65</c:v>
                </c:pt>
                <c:pt idx="46">
                  <c:v>7</c:v>
                </c:pt>
              </c:numCache>
            </c:numRef>
          </c:yVal>
          <c:smooth val="0"/>
          <c:extLst>
            <c:ext xmlns:c16="http://schemas.microsoft.com/office/drawing/2014/chart" uri="{C3380CC4-5D6E-409C-BE32-E72D297353CC}">
              <c16:uniqueId val="{00000001-B5CA-4397-8D4A-A636E60EC0C5}"/>
            </c:ext>
          </c:extLst>
        </c:ser>
        <c:dLbls>
          <c:showLegendKey val="0"/>
          <c:showVal val="0"/>
          <c:showCatName val="0"/>
          <c:showSerName val="0"/>
          <c:showPercent val="0"/>
          <c:showBubbleSize val="0"/>
        </c:dLbls>
        <c:axId val="1265770303"/>
        <c:axId val="1"/>
      </c:scatterChart>
      <c:valAx>
        <c:axId val="1265770303"/>
        <c:scaling>
          <c:orientation val="minMax"/>
        </c:scaling>
        <c:delete val="0"/>
        <c:axPos val="b"/>
        <c:minorGridlines/>
        <c:title>
          <c:tx>
            <c:rich>
              <a:bodyPr/>
              <a:lstStyle/>
              <a:p>
                <a:pPr>
                  <a:defRPr sz="1000" b="1" i="0" u="none" strike="noStrike" baseline="0">
                    <a:solidFill>
                      <a:srgbClr val="000000"/>
                    </a:solidFill>
                    <a:latin typeface="Calibri"/>
                    <a:ea typeface="Calibri"/>
                    <a:cs typeface="Calibri"/>
                  </a:defRPr>
                </a:pPr>
                <a:r>
                  <a:rPr lang="en-SG"/>
                  <a:t>e/Df</a:t>
                </a:r>
              </a:p>
            </c:rich>
          </c:tx>
          <c:layout>
            <c:manualLayout>
              <c:xMode val="edge"/>
              <c:yMode val="edge"/>
              <c:x val="0.35978979850945964"/>
              <c:y val="0.96269910163668571"/>
            </c:manualLayout>
          </c:layout>
          <c:overlay val="0"/>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max val="7"/>
          <c:min val="2"/>
        </c:scaling>
        <c:delete val="0"/>
        <c:axPos val="l"/>
        <c:majorGridlines/>
        <c:title>
          <c:tx>
            <c:rich>
              <a:bodyPr/>
              <a:lstStyle/>
              <a:p>
                <a:pPr>
                  <a:defRPr sz="1000" b="1" i="0" u="none" strike="noStrike" baseline="0">
                    <a:solidFill>
                      <a:srgbClr val="000000"/>
                    </a:solidFill>
                    <a:latin typeface="Calibri"/>
                    <a:ea typeface="Calibri"/>
                    <a:cs typeface="Calibri"/>
                  </a:defRPr>
                </a:pPr>
                <a:r>
                  <a:rPr lang="en-SG"/>
                  <a:t>L </a:t>
                </a:r>
              </a:p>
            </c:rich>
          </c:tx>
          <c:overlay val="0"/>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65770303"/>
        <c:crosses val="autoZero"/>
        <c:crossBetween val="midCat"/>
        <c:majorUnit val="0.5"/>
      </c:valAx>
    </c:plotArea>
    <c:legend>
      <c:legendPos val="r"/>
      <c:overlay val="1"/>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SG"/>
              <a:t>"L" for Axis through Flat Sides of Octagon</a:t>
            </a:r>
          </a:p>
        </c:rich>
      </c:tx>
      <c:overlay val="0"/>
    </c:title>
    <c:autoTitleDeleted val="0"/>
    <c:plotArea>
      <c:layout>
        <c:manualLayout>
          <c:layoutTarget val="inner"/>
          <c:xMode val="edge"/>
          <c:yMode val="edge"/>
          <c:x val="0.10033871008842342"/>
          <c:y val="9.1822339063370728E-2"/>
          <c:w val="0.67606177703110282"/>
          <c:h val="0.81792706219664191"/>
        </c:manualLayout>
      </c:layout>
      <c:scatterChart>
        <c:scatterStyle val="lineMarker"/>
        <c:varyColors val="0"/>
        <c:ser>
          <c:idx val="1"/>
          <c:order val="0"/>
          <c:tx>
            <c:v>"L"</c:v>
          </c:tx>
          <c:spPr>
            <a:ln w="28575">
              <a:noFill/>
            </a:ln>
          </c:spPr>
          <c:marker>
            <c:symbol val="square"/>
            <c:size val="4"/>
          </c:marker>
          <c:trendline>
            <c:trendlineType val="poly"/>
            <c:order val="5"/>
            <c:dispRSqr val="1"/>
            <c:dispEq val="1"/>
            <c:trendlineLbl>
              <c:layout>
                <c:manualLayout>
                  <c:x val="7.4724358484315676E-2"/>
                  <c:y val="-1.7289654028254573E-3"/>
                </c:manualLayout>
              </c:layout>
              <c:numFmt formatCode="General" sourceLinked="0"/>
              <c:txPr>
                <a:bodyPr/>
                <a:lstStyle/>
                <a:p>
                  <a:pPr>
                    <a:defRPr sz="1000" b="0" i="0" u="none" strike="noStrike" baseline="0">
                      <a:solidFill>
                        <a:srgbClr val="000000"/>
                      </a:solidFill>
                      <a:latin typeface="Calibri"/>
                      <a:ea typeface="Calibri"/>
                      <a:cs typeface="Calibri"/>
                    </a:defRPr>
                  </a:pPr>
                  <a:endParaRPr lang="en-US"/>
                </a:p>
              </c:txPr>
            </c:trendlineLbl>
          </c:trendline>
          <c:xVal>
            <c:numRef>
              <c:f>'Octagonal Footing'!$Z$8:$Z$52</c:f>
              <c:numCache>
                <c:formatCode>0.0000</c:formatCode>
                <c:ptCount val="45"/>
                <c:pt idx="0">
                  <c:v>0.1321</c:v>
                </c:pt>
                <c:pt idx="1">
                  <c:v>0.13500000000000001</c:v>
                </c:pt>
                <c:pt idx="2">
                  <c:v>0.14000000000000001</c:v>
                </c:pt>
                <c:pt idx="3">
                  <c:v>0.14500000000000002</c:v>
                </c:pt>
                <c:pt idx="4">
                  <c:v>0.15000000000000002</c:v>
                </c:pt>
                <c:pt idx="5">
                  <c:v>0.15500000000000003</c:v>
                </c:pt>
                <c:pt idx="6">
                  <c:v>0.16000000000000003</c:v>
                </c:pt>
                <c:pt idx="7">
                  <c:v>0.16500000000000004</c:v>
                </c:pt>
                <c:pt idx="8">
                  <c:v>0.17000000000000004</c:v>
                </c:pt>
                <c:pt idx="9">
                  <c:v>0.17500000000000004</c:v>
                </c:pt>
                <c:pt idx="10">
                  <c:v>0.18000000000000005</c:v>
                </c:pt>
                <c:pt idx="11">
                  <c:v>0.18500000000000005</c:v>
                </c:pt>
                <c:pt idx="12">
                  <c:v>0.19000000000000006</c:v>
                </c:pt>
                <c:pt idx="13">
                  <c:v>0.19500000000000006</c:v>
                </c:pt>
                <c:pt idx="14">
                  <c:v>0.20000000000000007</c:v>
                </c:pt>
                <c:pt idx="15">
                  <c:v>0.20500000000000007</c:v>
                </c:pt>
                <c:pt idx="16">
                  <c:v>0.21000000000000008</c:v>
                </c:pt>
                <c:pt idx="17">
                  <c:v>0.21500000000000008</c:v>
                </c:pt>
                <c:pt idx="18">
                  <c:v>0.22000000000000008</c:v>
                </c:pt>
                <c:pt idx="19">
                  <c:v>0.22500000000000009</c:v>
                </c:pt>
                <c:pt idx="20">
                  <c:v>0.23000000000000009</c:v>
                </c:pt>
                <c:pt idx="21">
                  <c:v>0.2350000000000001</c:v>
                </c:pt>
                <c:pt idx="22">
                  <c:v>0.2400000000000001</c:v>
                </c:pt>
                <c:pt idx="23">
                  <c:v>0.24500000000000011</c:v>
                </c:pt>
                <c:pt idx="24">
                  <c:v>0.25000000000000011</c:v>
                </c:pt>
                <c:pt idx="25">
                  <c:v>0.25500000000000012</c:v>
                </c:pt>
                <c:pt idx="26">
                  <c:v>0.26000000000000012</c:v>
                </c:pt>
                <c:pt idx="27">
                  <c:v>0.26500000000000012</c:v>
                </c:pt>
                <c:pt idx="28">
                  <c:v>0.27000000000000013</c:v>
                </c:pt>
                <c:pt idx="29">
                  <c:v>0.27500000000000013</c:v>
                </c:pt>
                <c:pt idx="30">
                  <c:v>0.28000000000000014</c:v>
                </c:pt>
                <c:pt idx="31">
                  <c:v>0.28500000000000014</c:v>
                </c:pt>
                <c:pt idx="32">
                  <c:v>0.29000000000000015</c:v>
                </c:pt>
                <c:pt idx="33">
                  <c:v>0.29500000000000015</c:v>
                </c:pt>
                <c:pt idx="34">
                  <c:v>0.30000000000000016</c:v>
                </c:pt>
                <c:pt idx="35">
                  <c:v>0.30500000000000016</c:v>
                </c:pt>
                <c:pt idx="36">
                  <c:v>0.31000000000000016</c:v>
                </c:pt>
                <c:pt idx="37">
                  <c:v>0.31500000000000017</c:v>
                </c:pt>
                <c:pt idx="38">
                  <c:v>0.32000000000000017</c:v>
                </c:pt>
                <c:pt idx="39">
                  <c:v>0.32500000000000018</c:v>
                </c:pt>
                <c:pt idx="40">
                  <c:v>0.33000000000000018</c:v>
                </c:pt>
                <c:pt idx="41">
                  <c:v>0.33500000000000019</c:v>
                </c:pt>
                <c:pt idx="42">
                  <c:v>0.34000000000000019</c:v>
                </c:pt>
                <c:pt idx="43">
                  <c:v>0.3450000000000002</c:v>
                </c:pt>
                <c:pt idx="44">
                  <c:v>0.3500000000000002</c:v>
                </c:pt>
              </c:numCache>
            </c:numRef>
          </c:xVal>
          <c:yVal>
            <c:numRef>
              <c:f>'Octagonal Footing'!$AC$8:$AC$52</c:f>
              <c:numCache>
                <c:formatCode>0.00</c:formatCode>
                <c:ptCount val="45"/>
                <c:pt idx="0">
                  <c:v>2</c:v>
                </c:pt>
                <c:pt idx="1">
                  <c:v>2.04</c:v>
                </c:pt>
                <c:pt idx="2">
                  <c:v>2.08</c:v>
                </c:pt>
                <c:pt idx="3">
                  <c:v>2.13</c:v>
                </c:pt>
                <c:pt idx="4">
                  <c:v>2.1800000000000002</c:v>
                </c:pt>
                <c:pt idx="5">
                  <c:v>2.21</c:v>
                </c:pt>
                <c:pt idx="6">
                  <c:v>2.25</c:v>
                </c:pt>
                <c:pt idx="7">
                  <c:v>2.2999999999999998</c:v>
                </c:pt>
                <c:pt idx="8">
                  <c:v>2.33</c:v>
                </c:pt>
                <c:pt idx="9">
                  <c:v>2.38</c:v>
                </c:pt>
                <c:pt idx="10">
                  <c:v>2.42</c:v>
                </c:pt>
                <c:pt idx="11">
                  <c:v>2.46</c:v>
                </c:pt>
                <c:pt idx="12">
                  <c:v>2.5299999999999998</c:v>
                </c:pt>
                <c:pt idx="13">
                  <c:v>2.6</c:v>
                </c:pt>
                <c:pt idx="14">
                  <c:v>2.65</c:v>
                </c:pt>
                <c:pt idx="15">
                  <c:v>2.73</c:v>
                </c:pt>
                <c:pt idx="16">
                  <c:v>2.8</c:v>
                </c:pt>
                <c:pt idx="17">
                  <c:v>2.85</c:v>
                </c:pt>
                <c:pt idx="18">
                  <c:v>2.92</c:v>
                </c:pt>
                <c:pt idx="19">
                  <c:v>3</c:v>
                </c:pt>
                <c:pt idx="20">
                  <c:v>3.05</c:v>
                </c:pt>
                <c:pt idx="21">
                  <c:v>3.12</c:v>
                </c:pt>
                <c:pt idx="22">
                  <c:v>3.2</c:v>
                </c:pt>
                <c:pt idx="23">
                  <c:v>3.3</c:v>
                </c:pt>
                <c:pt idx="24">
                  <c:v>3.4</c:v>
                </c:pt>
                <c:pt idx="25">
                  <c:v>3.5</c:v>
                </c:pt>
                <c:pt idx="26">
                  <c:v>3.6</c:v>
                </c:pt>
                <c:pt idx="27">
                  <c:v>3.7</c:v>
                </c:pt>
                <c:pt idx="28">
                  <c:v>3.8</c:v>
                </c:pt>
                <c:pt idx="29">
                  <c:v>3.9</c:v>
                </c:pt>
                <c:pt idx="30">
                  <c:v>4</c:v>
                </c:pt>
                <c:pt idx="31">
                  <c:v>4.12</c:v>
                </c:pt>
                <c:pt idx="32">
                  <c:v>4.26</c:v>
                </c:pt>
                <c:pt idx="33">
                  <c:v>4.4000000000000004</c:v>
                </c:pt>
                <c:pt idx="34">
                  <c:v>4.55</c:v>
                </c:pt>
                <c:pt idx="35">
                  <c:v>4.7</c:v>
                </c:pt>
                <c:pt idx="36">
                  <c:v>4.84</c:v>
                </c:pt>
                <c:pt idx="37">
                  <c:v>4.9800000000000004</c:v>
                </c:pt>
                <c:pt idx="38">
                  <c:v>5.18</c:v>
                </c:pt>
                <c:pt idx="39">
                  <c:v>5.4</c:v>
                </c:pt>
                <c:pt idx="40">
                  <c:v>5.65</c:v>
                </c:pt>
                <c:pt idx="41">
                  <c:v>5.85</c:v>
                </c:pt>
                <c:pt idx="42">
                  <c:v>6.12</c:v>
                </c:pt>
                <c:pt idx="43">
                  <c:v>6.35</c:v>
                </c:pt>
                <c:pt idx="44">
                  <c:v>6.5</c:v>
                </c:pt>
              </c:numCache>
            </c:numRef>
          </c:yVal>
          <c:smooth val="0"/>
          <c:extLst>
            <c:ext xmlns:c16="http://schemas.microsoft.com/office/drawing/2014/chart" uri="{C3380CC4-5D6E-409C-BE32-E72D297353CC}">
              <c16:uniqueId val="{00000001-BBA8-4CA2-A1CF-78D3F3F8E366}"/>
            </c:ext>
          </c:extLst>
        </c:ser>
        <c:dLbls>
          <c:showLegendKey val="0"/>
          <c:showVal val="0"/>
          <c:showCatName val="0"/>
          <c:showSerName val="0"/>
          <c:showPercent val="0"/>
          <c:showBubbleSize val="0"/>
        </c:dLbls>
        <c:axId val="1265763103"/>
        <c:axId val="1"/>
      </c:scatterChart>
      <c:valAx>
        <c:axId val="1265763103"/>
        <c:scaling>
          <c:orientation val="minMax"/>
        </c:scaling>
        <c:delete val="0"/>
        <c:axPos val="b"/>
        <c:minorGridlines/>
        <c:title>
          <c:tx>
            <c:rich>
              <a:bodyPr/>
              <a:lstStyle/>
              <a:p>
                <a:pPr>
                  <a:defRPr sz="1000" b="1" i="0" u="none" strike="noStrike" baseline="0">
                    <a:solidFill>
                      <a:srgbClr val="000000"/>
                    </a:solidFill>
                    <a:latin typeface="Calibri"/>
                    <a:ea typeface="Calibri"/>
                    <a:cs typeface="Calibri"/>
                  </a:defRPr>
                </a:pPr>
                <a:r>
                  <a:rPr lang="en-SG"/>
                  <a:t>e/Df</a:t>
                </a:r>
              </a:p>
            </c:rich>
          </c:tx>
          <c:layout>
            <c:manualLayout>
              <c:xMode val="edge"/>
              <c:yMode val="edge"/>
              <c:x val="0.41182631518886231"/>
              <c:y val="0.96172493096343414"/>
            </c:manualLayout>
          </c:layout>
          <c:overlay val="0"/>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max val="7"/>
          <c:min val="2"/>
        </c:scaling>
        <c:delete val="0"/>
        <c:axPos val="l"/>
        <c:majorGridlines/>
        <c:title>
          <c:tx>
            <c:rich>
              <a:bodyPr/>
              <a:lstStyle/>
              <a:p>
                <a:pPr>
                  <a:defRPr sz="1000" b="1" i="0" u="none" strike="noStrike" baseline="0">
                    <a:solidFill>
                      <a:srgbClr val="000000"/>
                    </a:solidFill>
                    <a:latin typeface="Calibri"/>
                    <a:ea typeface="Calibri"/>
                    <a:cs typeface="Calibri"/>
                  </a:defRPr>
                </a:pPr>
                <a:r>
                  <a:rPr lang="en-SG"/>
                  <a:t>L </a:t>
                </a:r>
              </a:p>
            </c:rich>
          </c:tx>
          <c:overlay val="0"/>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65763103"/>
        <c:crosses val="autoZero"/>
        <c:crossBetween val="midCat"/>
      </c:valAx>
    </c:plotArea>
    <c:legend>
      <c:legendPos val="r"/>
      <c:overlay val="1"/>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SG"/>
              <a:t>"K" for Axis through Corners of Octagon</a:t>
            </a:r>
          </a:p>
        </c:rich>
      </c:tx>
      <c:overlay val="0"/>
    </c:title>
    <c:autoTitleDeleted val="0"/>
    <c:plotArea>
      <c:layout>
        <c:manualLayout>
          <c:layoutTarget val="inner"/>
          <c:xMode val="edge"/>
          <c:yMode val="edge"/>
          <c:x val="7.2125723663279684E-2"/>
          <c:y val="9.1225060282098883E-2"/>
          <c:w val="0.70153255788796465"/>
          <c:h val="0.82366557838806731"/>
        </c:manualLayout>
      </c:layout>
      <c:scatterChart>
        <c:scatterStyle val="lineMarker"/>
        <c:varyColors val="0"/>
        <c:ser>
          <c:idx val="0"/>
          <c:order val="0"/>
          <c:tx>
            <c:v>"K"</c:v>
          </c:tx>
          <c:spPr>
            <a:ln w="28575">
              <a:noFill/>
            </a:ln>
          </c:spPr>
          <c:marker>
            <c:symbol val="diamond"/>
            <c:size val="4"/>
          </c:marker>
          <c:trendline>
            <c:trendlineType val="poly"/>
            <c:order val="2"/>
            <c:dispRSqr val="1"/>
            <c:dispEq val="1"/>
            <c:trendlineLbl>
              <c:layout>
                <c:manualLayout>
                  <c:x val="-5.0160497833649322E-2"/>
                  <c:y val="-1.2891364189232443E-2"/>
                </c:manualLayout>
              </c:layout>
              <c:numFmt formatCode="General" sourceLinked="0"/>
              <c:txPr>
                <a:bodyPr/>
                <a:lstStyle/>
                <a:p>
                  <a:pPr>
                    <a:defRPr sz="1000" b="0" i="0" u="none" strike="noStrike" baseline="0">
                      <a:solidFill>
                        <a:srgbClr val="000000"/>
                      </a:solidFill>
                      <a:latin typeface="Calibri"/>
                      <a:ea typeface="Calibri"/>
                      <a:cs typeface="Calibri"/>
                    </a:defRPr>
                  </a:pPr>
                  <a:endParaRPr lang="en-US"/>
                </a:p>
              </c:txPr>
            </c:trendlineLbl>
          </c:trendline>
          <c:xVal>
            <c:numRef>
              <c:f>'Octagonal Footing'!$S$8:$S$54</c:f>
              <c:numCache>
                <c:formatCode>0.0000</c:formatCode>
                <c:ptCount val="47"/>
                <c:pt idx="0">
                  <c:v>0.1221</c:v>
                </c:pt>
                <c:pt idx="1">
                  <c:v>0.125</c:v>
                </c:pt>
                <c:pt idx="2">
                  <c:v>0.13</c:v>
                </c:pt>
                <c:pt idx="3">
                  <c:v>0.13500000000000001</c:v>
                </c:pt>
                <c:pt idx="4">
                  <c:v>0.14000000000000001</c:v>
                </c:pt>
                <c:pt idx="5">
                  <c:v>0.14500000000000002</c:v>
                </c:pt>
                <c:pt idx="6">
                  <c:v>0.15000000000000002</c:v>
                </c:pt>
                <c:pt idx="7">
                  <c:v>0.15500000000000003</c:v>
                </c:pt>
                <c:pt idx="8">
                  <c:v>0.16000000000000003</c:v>
                </c:pt>
                <c:pt idx="9">
                  <c:v>0.16500000000000004</c:v>
                </c:pt>
                <c:pt idx="10">
                  <c:v>0.17000000000000004</c:v>
                </c:pt>
                <c:pt idx="11">
                  <c:v>0.17500000000000004</c:v>
                </c:pt>
                <c:pt idx="12">
                  <c:v>0.18000000000000005</c:v>
                </c:pt>
                <c:pt idx="13">
                  <c:v>0.18500000000000005</c:v>
                </c:pt>
                <c:pt idx="14">
                  <c:v>0.19000000000000006</c:v>
                </c:pt>
                <c:pt idx="15">
                  <c:v>0.19500000000000006</c:v>
                </c:pt>
                <c:pt idx="16">
                  <c:v>0.20000000000000007</c:v>
                </c:pt>
                <c:pt idx="17">
                  <c:v>0.20500000000000007</c:v>
                </c:pt>
                <c:pt idx="18">
                  <c:v>0.21000000000000008</c:v>
                </c:pt>
                <c:pt idx="19">
                  <c:v>0.21500000000000008</c:v>
                </c:pt>
                <c:pt idx="20">
                  <c:v>0.22000000000000008</c:v>
                </c:pt>
                <c:pt idx="21">
                  <c:v>0.22500000000000009</c:v>
                </c:pt>
                <c:pt idx="22">
                  <c:v>0.23000000000000009</c:v>
                </c:pt>
                <c:pt idx="23">
                  <c:v>0.2350000000000001</c:v>
                </c:pt>
                <c:pt idx="24">
                  <c:v>0.2400000000000001</c:v>
                </c:pt>
                <c:pt idx="25">
                  <c:v>0.24500000000000011</c:v>
                </c:pt>
                <c:pt idx="26">
                  <c:v>0.25000000000000011</c:v>
                </c:pt>
                <c:pt idx="27">
                  <c:v>0.25500000000000012</c:v>
                </c:pt>
                <c:pt idx="28">
                  <c:v>0.26000000000000012</c:v>
                </c:pt>
                <c:pt idx="29">
                  <c:v>0.26500000000000001</c:v>
                </c:pt>
                <c:pt idx="30">
                  <c:v>0.27000000000000013</c:v>
                </c:pt>
                <c:pt idx="31">
                  <c:v>0.27500000000000013</c:v>
                </c:pt>
                <c:pt idx="32">
                  <c:v>0.28000000000000014</c:v>
                </c:pt>
                <c:pt idx="33">
                  <c:v>0.28500000000000014</c:v>
                </c:pt>
                <c:pt idx="34">
                  <c:v>0.29000000000000015</c:v>
                </c:pt>
                <c:pt idx="35">
                  <c:v>0.29500000000000015</c:v>
                </c:pt>
                <c:pt idx="36">
                  <c:v>0.30000000000000016</c:v>
                </c:pt>
                <c:pt idx="37">
                  <c:v>0.30500000000000016</c:v>
                </c:pt>
                <c:pt idx="38">
                  <c:v>0.31000000000000016</c:v>
                </c:pt>
                <c:pt idx="39">
                  <c:v>0.31500000000000017</c:v>
                </c:pt>
                <c:pt idx="40">
                  <c:v>0.32000000000000017</c:v>
                </c:pt>
                <c:pt idx="41">
                  <c:v>0.32500000000000018</c:v>
                </c:pt>
                <c:pt idx="42">
                  <c:v>0.33000000000000018</c:v>
                </c:pt>
                <c:pt idx="43">
                  <c:v>0.33500000000000019</c:v>
                </c:pt>
                <c:pt idx="44">
                  <c:v>0.34000000000000019</c:v>
                </c:pt>
                <c:pt idx="45">
                  <c:v>0.3450000000000002</c:v>
                </c:pt>
                <c:pt idx="46">
                  <c:v>0.3500000000000002</c:v>
                </c:pt>
              </c:numCache>
            </c:numRef>
          </c:xVal>
          <c:yVal>
            <c:numRef>
              <c:f>'Octagonal Footing'!$T$8:$T$54</c:f>
              <c:numCache>
                <c:formatCode>0.000</c:formatCode>
                <c:ptCount val="47"/>
                <c:pt idx="0">
                  <c:v>0</c:v>
                </c:pt>
                <c:pt idx="1">
                  <c:v>0.01</c:v>
                </c:pt>
                <c:pt idx="2">
                  <c:v>2.8000000000000001E-2</c:v>
                </c:pt>
                <c:pt idx="3">
                  <c:v>4.4999999999999998E-2</c:v>
                </c:pt>
                <c:pt idx="4">
                  <c:v>6.3E-2</c:v>
                </c:pt>
                <c:pt idx="5">
                  <c:v>7.9000000000000001E-2</c:v>
                </c:pt>
                <c:pt idx="6">
                  <c:v>9.6000000000000002E-2</c:v>
                </c:pt>
                <c:pt idx="7">
                  <c:v>0.114</c:v>
                </c:pt>
                <c:pt idx="8">
                  <c:v>0.13</c:v>
                </c:pt>
                <c:pt idx="9">
                  <c:v>0.14699999999999999</c:v>
                </c:pt>
                <c:pt idx="10">
                  <c:v>0.16400000000000001</c:v>
                </c:pt>
                <c:pt idx="11">
                  <c:v>0.18</c:v>
                </c:pt>
                <c:pt idx="12">
                  <c:v>0.19800000000000001</c:v>
                </c:pt>
                <c:pt idx="13">
                  <c:v>0.216</c:v>
                </c:pt>
                <c:pt idx="14">
                  <c:v>0.23300000000000001</c:v>
                </c:pt>
                <c:pt idx="15">
                  <c:v>0.248</c:v>
                </c:pt>
                <c:pt idx="16">
                  <c:v>0.26100000000000001</c:v>
                </c:pt>
                <c:pt idx="17">
                  <c:v>0.27700000000000002</c:v>
                </c:pt>
                <c:pt idx="18">
                  <c:v>0.28999999999999998</c:v>
                </c:pt>
                <c:pt idx="19">
                  <c:v>0.30399999999999999</c:v>
                </c:pt>
                <c:pt idx="20">
                  <c:v>0.31900000000000001</c:v>
                </c:pt>
                <c:pt idx="21">
                  <c:v>0.33300000000000002</c:v>
                </c:pt>
                <c:pt idx="22">
                  <c:v>0.34799999999999998</c:v>
                </c:pt>
                <c:pt idx="23">
                  <c:v>0.36199999999999999</c:v>
                </c:pt>
                <c:pt idx="24">
                  <c:v>0.376</c:v>
                </c:pt>
                <c:pt idx="25">
                  <c:v>0.39200000000000002</c:v>
                </c:pt>
                <c:pt idx="26">
                  <c:v>0.40500000000000003</c:v>
                </c:pt>
                <c:pt idx="27">
                  <c:v>0.41899999999999998</c:v>
                </c:pt>
                <c:pt idx="28">
                  <c:v>0.433</c:v>
                </c:pt>
                <c:pt idx="29">
                  <c:v>0.44800000000000001</c:v>
                </c:pt>
                <c:pt idx="30">
                  <c:v>0.45900000000000002</c:v>
                </c:pt>
                <c:pt idx="31">
                  <c:v>0.47</c:v>
                </c:pt>
                <c:pt idx="32">
                  <c:v>0.48299999999999998</c:v>
                </c:pt>
                <c:pt idx="33">
                  <c:v>0.496</c:v>
                </c:pt>
                <c:pt idx="34">
                  <c:v>0.50800000000000001</c:v>
                </c:pt>
                <c:pt idx="35">
                  <c:v>0.52</c:v>
                </c:pt>
                <c:pt idx="36">
                  <c:v>0.53300000000000003</c:v>
                </c:pt>
                <c:pt idx="37">
                  <c:v>0.54500000000000004</c:v>
                </c:pt>
                <c:pt idx="38">
                  <c:v>0.55800000000000005</c:v>
                </c:pt>
                <c:pt idx="39">
                  <c:v>0.56899999999999995</c:v>
                </c:pt>
                <c:pt idx="40">
                  <c:v>0.57999999999999996</c:v>
                </c:pt>
                <c:pt idx="41">
                  <c:v>0.59199999999999997</c:v>
                </c:pt>
                <c:pt idx="42">
                  <c:v>0.60399999999999998</c:v>
                </c:pt>
                <c:pt idx="43">
                  <c:v>0.61699999999999999</c:v>
                </c:pt>
                <c:pt idx="44">
                  <c:v>0.63</c:v>
                </c:pt>
                <c:pt idx="45">
                  <c:v>0.64200000000000002</c:v>
                </c:pt>
                <c:pt idx="46">
                  <c:v>0.65</c:v>
                </c:pt>
              </c:numCache>
            </c:numRef>
          </c:yVal>
          <c:smooth val="0"/>
          <c:extLst>
            <c:ext xmlns:c16="http://schemas.microsoft.com/office/drawing/2014/chart" uri="{C3380CC4-5D6E-409C-BE32-E72D297353CC}">
              <c16:uniqueId val="{00000001-38BA-4AAE-9516-426B4F9EC4C2}"/>
            </c:ext>
          </c:extLst>
        </c:ser>
        <c:dLbls>
          <c:showLegendKey val="0"/>
          <c:showVal val="0"/>
          <c:showCatName val="0"/>
          <c:showSerName val="0"/>
          <c:showPercent val="0"/>
          <c:showBubbleSize val="0"/>
        </c:dLbls>
        <c:axId val="1265761663"/>
        <c:axId val="1"/>
      </c:scatterChart>
      <c:valAx>
        <c:axId val="1265761663"/>
        <c:scaling>
          <c:orientation val="minMax"/>
        </c:scaling>
        <c:delete val="0"/>
        <c:axPos val="b"/>
        <c:minorGridlines/>
        <c:title>
          <c:tx>
            <c:rich>
              <a:bodyPr/>
              <a:lstStyle/>
              <a:p>
                <a:pPr>
                  <a:defRPr sz="1000" b="1" i="0" u="none" strike="noStrike" baseline="0">
                    <a:solidFill>
                      <a:srgbClr val="000000"/>
                    </a:solidFill>
                    <a:latin typeface="Calibri"/>
                    <a:ea typeface="Calibri"/>
                    <a:cs typeface="Calibri"/>
                  </a:defRPr>
                </a:pPr>
                <a:r>
                  <a:rPr lang="en-SG"/>
                  <a:t>e/Df</a:t>
                </a:r>
              </a:p>
            </c:rich>
          </c:tx>
          <c:layout>
            <c:manualLayout>
              <c:xMode val="edge"/>
              <c:yMode val="edge"/>
              <c:x val="0.35978979850945964"/>
              <c:y val="0.96269910163668571"/>
            </c:manualLayout>
          </c:layout>
          <c:overlay val="0"/>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max val="0.70000000000000007"/>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SG"/>
                  <a:t>K</a:t>
                </a:r>
              </a:p>
            </c:rich>
          </c:tx>
          <c:overlay val="0"/>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65761663"/>
        <c:crosses val="autoZero"/>
        <c:crossBetween val="midCat"/>
      </c:valAx>
    </c:plotArea>
    <c:legend>
      <c:legendPos val="r"/>
      <c:layout>
        <c:manualLayout>
          <c:xMode val="edge"/>
          <c:yMode val="edge"/>
          <c:x val="0.77347726328135225"/>
          <c:y val="0.46185280498474274"/>
          <c:w val="0.20627689434699181"/>
          <c:h val="7.840829652391007E-2"/>
        </c:manualLayout>
      </c:layout>
      <c:overlay val="1"/>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SG"/>
              <a:t>"K" for Axis through Flat Sides of Octagon</a:t>
            </a:r>
          </a:p>
        </c:rich>
      </c:tx>
      <c:overlay val="0"/>
    </c:title>
    <c:autoTitleDeleted val="0"/>
    <c:plotArea>
      <c:layout>
        <c:manualLayout>
          <c:layoutTarget val="inner"/>
          <c:xMode val="edge"/>
          <c:yMode val="edge"/>
          <c:x val="8.2215732742145095E-2"/>
          <c:y val="9.1822339063370728E-2"/>
          <c:w val="0.69967828055827785"/>
          <c:h val="0.83520113297631016"/>
        </c:manualLayout>
      </c:layout>
      <c:scatterChart>
        <c:scatterStyle val="lineMarker"/>
        <c:varyColors val="0"/>
        <c:ser>
          <c:idx val="0"/>
          <c:order val="0"/>
          <c:tx>
            <c:v>"K"</c:v>
          </c:tx>
          <c:spPr>
            <a:ln w="28575">
              <a:noFill/>
            </a:ln>
          </c:spPr>
          <c:marker>
            <c:symbol val="diamond"/>
            <c:size val="4"/>
          </c:marker>
          <c:trendline>
            <c:trendlineType val="poly"/>
            <c:order val="2"/>
            <c:dispRSqr val="1"/>
            <c:dispEq val="1"/>
            <c:trendlineLbl>
              <c:layout>
                <c:manualLayout>
                  <c:x val="-0.14602634864816655"/>
                  <c:y val="-3.5412226632124795E-2"/>
                </c:manualLayout>
              </c:layout>
              <c:numFmt formatCode="General" sourceLinked="0"/>
              <c:txPr>
                <a:bodyPr/>
                <a:lstStyle/>
                <a:p>
                  <a:pPr>
                    <a:defRPr sz="1000" b="0" i="0" u="none" strike="noStrike" baseline="0">
                      <a:solidFill>
                        <a:srgbClr val="000000"/>
                      </a:solidFill>
                      <a:latin typeface="Calibri"/>
                      <a:ea typeface="Calibri"/>
                      <a:cs typeface="Calibri"/>
                    </a:defRPr>
                  </a:pPr>
                  <a:endParaRPr lang="en-US"/>
                </a:p>
              </c:txPr>
            </c:trendlineLbl>
          </c:trendline>
          <c:xVal>
            <c:numRef>
              <c:f>'Octagonal Footing'!$Z$8:$Z$52</c:f>
              <c:numCache>
                <c:formatCode>0.0000</c:formatCode>
                <c:ptCount val="45"/>
                <c:pt idx="0">
                  <c:v>0.1321</c:v>
                </c:pt>
                <c:pt idx="1">
                  <c:v>0.13500000000000001</c:v>
                </c:pt>
                <c:pt idx="2">
                  <c:v>0.14000000000000001</c:v>
                </c:pt>
                <c:pt idx="3">
                  <c:v>0.14500000000000002</c:v>
                </c:pt>
                <c:pt idx="4">
                  <c:v>0.15000000000000002</c:v>
                </c:pt>
                <c:pt idx="5">
                  <c:v>0.15500000000000003</c:v>
                </c:pt>
                <c:pt idx="6">
                  <c:v>0.16000000000000003</c:v>
                </c:pt>
                <c:pt idx="7">
                  <c:v>0.16500000000000004</c:v>
                </c:pt>
                <c:pt idx="8">
                  <c:v>0.17000000000000004</c:v>
                </c:pt>
                <c:pt idx="9">
                  <c:v>0.17500000000000004</c:v>
                </c:pt>
                <c:pt idx="10">
                  <c:v>0.18000000000000005</c:v>
                </c:pt>
                <c:pt idx="11">
                  <c:v>0.18500000000000005</c:v>
                </c:pt>
                <c:pt idx="12">
                  <c:v>0.19000000000000006</c:v>
                </c:pt>
                <c:pt idx="13">
                  <c:v>0.19500000000000006</c:v>
                </c:pt>
                <c:pt idx="14">
                  <c:v>0.20000000000000007</c:v>
                </c:pt>
                <c:pt idx="15">
                  <c:v>0.20500000000000007</c:v>
                </c:pt>
                <c:pt idx="16">
                  <c:v>0.21000000000000008</c:v>
                </c:pt>
                <c:pt idx="17">
                  <c:v>0.21500000000000008</c:v>
                </c:pt>
                <c:pt idx="18">
                  <c:v>0.22000000000000008</c:v>
                </c:pt>
                <c:pt idx="19">
                  <c:v>0.22500000000000009</c:v>
                </c:pt>
                <c:pt idx="20">
                  <c:v>0.23000000000000009</c:v>
                </c:pt>
                <c:pt idx="21">
                  <c:v>0.2350000000000001</c:v>
                </c:pt>
                <c:pt idx="22">
                  <c:v>0.2400000000000001</c:v>
                </c:pt>
                <c:pt idx="23">
                  <c:v>0.24500000000000011</c:v>
                </c:pt>
                <c:pt idx="24">
                  <c:v>0.25000000000000011</c:v>
                </c:pt>
                <c:pt idx="25">
                  <c:v>0.25500000000000012</c:v>
                </c:pt>
                <c:pt idx="26">
                  <c:v>0.26000000000000012</c:v>
                </c:pt>
                <c:pt idx="27">
                  <c:v>0.26500000000000012</c:v>
                </c:pt>
                <c:pt idx="28">
                  <c:v>0.27000000000000013</c:v>
                </c:pt>
                <c:pt idx="29">
                  <c:v>0.27500000000000013</c:v>
                </c:pt>
                <c:pt idx="30">
                  <c:v>0.28000000000000014</c:v>
                </c:pt>
                <c:pt idx="31">
                  <c:v>0.28500000000000014</c:v>
                </c:pt>
                <c:pt idx="32">
                  <c:v>0.29000000000000015</c:v>
                </c:pt>
                <c:pt idx="33">
                  <c:v>0.29500000000000015</c:v>
                </c:pt>
                <c:pt idx="34">
                  <c:v>0.30000000000000016</c:v>
                </c:pt>
                <c:pt idx="35">
                  <c:v>0.30500000000000016</c:v>
                </c:pt>
                <c:pt idx="36">
                  <c:v>0.31000000000000016</c:v>
                </c:pt>
                <c:pt idx="37">
                  <c:v>0.31500000000000017</c:v>
                </c:pt>
                <c:pt idx="38">
                  <c:v>0.32000000000000017</c:v>
                </c:pt>
                <c:pt idx="39">
                  <c:v>0.32500000000000018</c:v>
                </c:pt>
                <c:pt idx="40">
                  <c:v>0.33000000000000018</c:v>
                </c:pt>
                <c:pt idx="41">
                  <c:v>0.33500000000000019</c:v>
                </c:pt>
                <c:pt idx="42">
                  <c:v>0.34000000000000019</c:v>
                </c:pt>
                <c:pt idx="43">
                  <c:v>0.3450000000000002</c:v>
                </c:pt>
                <c:pt idx="44">
                  <c:v>0.3500000000000002</c:v>
                </c:pt>
              </c:numCache>
            </c:numRef>
          </c:xVal>
          <c:yVal>
            <c:numRef>
              <c:f>'Octagonal Footing'!$AA$8:$AA$52</c:f>
              <c:numCache>
                <c:formatCode>0.000</c:formatCode>
                <c:ptCount val="45"/>
                <c:pt idx="0">
                  <c:v>0</c:v>
                </c:pt>
                <c:pt idx="1">
                  <c:v>8.9999999999999993E-3</c:v>
                </c:pt>
                <c:pt idx="2">
                  <c:v>2.5000000000000001E-2</c:v>
                </c:pt>
                <c:pt idx="3">
                  <c:v>4.1000000000000002E-2</c:v>
                </c:pt>
                <c:pt idx="4">
                  <c:v>5.8999999999999997E-2</c:v>
                </c:pt>
                <c:pt idx="5">
                  <c:v>7.3999999999999996E-2</c:v>
                </c:pt>
                <c:pt idx="6">
                  <c:v>0.09</c:v>
                </c:pt>
                <c:pt idx="7">
                  <c:v>0.106</c:v>
                </c:pt>
                <c:pt idx="8">
                  <c:v>0.124</c:v>
                </c:pt>
                <c:pt idx="9">
                  <c:v>0.14000000000000001</c:v>
                </c:pt>
                <c:pt idx="10">
                  <c:v>0.155</c:v>
                </c:pt>
                <c:pt idx="11">
                  <c:v>0.17499999999999999</c:v>
                </c:pt>
                <c:pt idx="12">
                  <c:v>0.192</c:v>
                </c:pt>
                <c:pt idx="13">
                  <c:v>0.20799999999999999</c:v>
                </c:pt>
                <c:pt idx="14">
                  <c:v>0.222</c:v>
                </c:pt>
                <c:pt idx="15">
                  <c:v>0.23799999999999999</c:v>
                </c:pt>
                <c:pt idx="16">
                  <c:v>0.251</c:v>
                </c:pt>
                <c:pt idx="17">
                  <c:v>0.26500000000000001</c:v>
                </c:pt>
                <c:pt idx="18">
                  <c:v>0.28000000000000003</c:v>
                </c:pt>
                <c:pt idx="19">
                  <c:v>0.29499999999999998</c:v>
                </c:pt>
                <c:pt idx="20">
                  <c:v>0.31</c:v>
                </c:pt>
                <c:pt idx="21">
                  <c:v>0.32200000000000001</c:v>
                </c:pt>
                <c:pt idx="22">
                  <c:v>0.33600000000000002</c:v>
                </c:pt>
                <c:pt idx="23">
                  <c:v>0.35</c:v>
                </c:pt>
                <c:pt idx="24">
                  <c:v>0.36699999999999999</c:v>
                </c:pt>
                <c:pt idx="25">
                  <c:v>0.38</c:v>
                </c:pt>
                <c:pt idx="26">
                  <c:v>0.39500000000000002</c:v>
                </c:pt>
                <c:pt idx="27">
                  <c:v>0.41</c:v>
                </c:pt>
                <c:pt idx="28">
                  <c:v>0.42199999999999999</c:v>
                </c:pt>
                <c:pt idx="29">
                  <c:v>0.435</c:v>
                </c:pt>
                <c:pt idx="30">
                  <c:v>0.44800000000000001</c:v>
                </c:pt>
                <c:pt idx="31">
                  <c:v>0.46</c:v>
                </c:pt>
                <c:pt idx="32">
                  <c:v>0.47199999999999998</c:v>
                </c:pt>
                <c:pt idx="33">
                  <c:v>0.48499999999999999</c:v>
                </c:pt>
                <c:pt idx="34">
                  <c:v>0.498</c:v>
                </c:pt>
                <c:pt idx="35">
                  <c:v>0.51</c:v>
                </c:pt>
                <c:pt idx="36">
                  <c:v>0.52200000000000002</c:v>
                </c:pt>
                <c:pt idx="37">
                  <c:v>0.53500000000000003</c:v>
                </c:pt>
                <c:pt idx="38">
                  <c:v>0.54800000000000004</c:v>
                </c:pt>
                <c:pt idx="39">
                  <c:v>0.56000000000000005</c:v>
                </c:pt>
                <c:pt idx="40">
                  <c:v>0.57399999999999995</c:v>
                </c:pt>
                <c:pt idx="41">
                  <c:v>0.58499999999999996</c:v>
                </c:pt>
                <c:pt idx="42">
                  <c:v>0.6</c:v>
                </c:pt>
                <c:pt idx="43">
                  <c:v>0.61</c:v>
                </c:pt>
                <c:pt idx="44">
                  <c:v>0.62</c:v>
                </c:pt>
              </c:numCache>
            </c:numRef>
          </c:yVal>
          <c:smooth val="0"/>
          <c:extLst>
            <c:ext xmlns:c16="http://schemas.microsoft.com/office/drawing/2014/chart" uri="{C3380CC4-5D6E-409C-BE32-E72D297353CC}">
              <c16:uniqueId val="{00000001-3FB5-4A66-9AA7-F67D16FB1E84}"/>
            </c:ext>
          </c:extLst>
        </c:ser>
        <c:dLbls>
          <c:showLegendKey val="0"/>
          <c:showVal val="0"/>
          <c:showCatName val="0"/>
          <c:showSerName val="0"/>
          <c:showPercent val="0"/>
          <c:showBubbleSize val="0"/>
        </c:dLbls>
        <c:axId val="1265766943"/>
        <c:axId val="1"/>
      </c:scatterChart>
      <c:valAx>
        <c:axId val="1265766943"/>
        <c:scaling>
          <c:orientation val="minMax"/>
        </c:scaling>
        <c:delete val="0"/>
        <c:axPos val="b"/>
        <c:minorGridlines/>
        <c:title>
          <c:tx>
            <c:rich>
              <a:bodyPr/>
              <a:lstStyle/>
              <a:p>
                <a:pPr>
                  <a:defRPr sz="1000" b="1" i="0" u="none" strike="noStrike" baseline="0">
                    <a:solidFill>
                      <a:srgbClr val="000000"/>
                    </a:solidFill>
                    <a:latin typeface="Calibri"/>
                    <a:ea typeface="Calibri"/>
                    <a:cs typeface="Calibri"/>
                  </a:defRPr>
                </a:pPr>
                <a:r>
                  <a:rPr lang="en-SG"/>
                  <a:t>e/Df</a:t>
                </a:r>
              </a:p>
            </c:rich>
          </c:tx>
          <c:layout>
            <c:manualLayout>
              <c:xMode val="edge"/>
              <c:yMode val="edge"/>
              <c:x val="0.41182630070584719"/>
              <c:y val="0.96172493096343414"/>
            </c:manualLayout>
          </c:layout>
          <c:overlay val="0"/>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max val="0.70000000000000007"/>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SG"/>
                  <a:t>K</a:t>
                </a:r>
              </a:p>
            </c:rich>
          </c:tx>
          <c:overlay val="0"/>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65766943"/>
        <c:crosses val="autoZero"/>
        <c:crossBetween val="midCat"/>
      </c:valAx>
    </c:plotArea>
    <c:legend>
      <c:legendPos val="r"/>
      <c:layout>
        <c:manualLayout>
          <c:xMode val="edge"/>
          <c:yMode val="edge"/>
          <c:x val="0.77876898866853905"/>
          <c:y val="0.46750297092342286"/>
          <c:w val="0.20808238138722812"/>
          <c:h val="7.8535997332580987E-2"/>
        </c:manualLayout>
      </c:layout>
      <c:overlay val="1"/>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19050</xdr:colOff>
      <xdr:row>85</xdr:row>
      <xdr:rowOff>152400</xdr:rowOff>
    </xdr:from>
    <xdr:to>
      <xdr:col>7</xdr:col>
      <xdr:colOff>457200</xdr:colOff>
      <xdr:row>109</xdr:row>
      <xdr:rowOff>57150</xdr:rowOff>
    </xdr:to>
    <xdr:graphicFrame macro="">
      <xdr:nvGraphicFramePr>
        <xdr:cNvPr id="3193799" name="Chart 1">
          <a:extLst>
            <a:ext uri="{FF2B5EF4-FFF2-40B4-BE49-F238E27FC236}">
              <a16:creationId xmlns:a16="http://schemas.microsoft.com/office/drawing/2014/main" id="{4948319C-EE60-30A8-FB32-E0A383D0F7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257175</xdr:colOff>
      <xdr:row>4</xdr:row>
      <xdr:rowOff>133350</xdr:rowOff>
    </xdr:from>
    <xdr:to>
      <xdr:col>37</xdr:col>
      <xdr:colOff>381000</xdr:colOff>
      <xdr:row>41</xdr:row>
      <xdr:rowOff>0</xdr:rowOff>
    </xdr:to>
    <xdr:graphicFrame macro="">
      <xdr:nvGraphicFramePr>
        <xdr:cNvPr id="3193800" name="Chart 2">
          <a:extLst>
            <a:ext uri="{FF2B5EF4-FFF2-40B4-BE49-F238E27FC236}">
              <a16:creationId xmlns:a16="http://schemas.microsoft.com/office/drawing/2014/main" id="{B97E1D7E-BEAE-5542-26F4-C63B6A1A33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38</xdr:col>
      <xdr:colOff>85725</xdr:colOff>
      <xdr:row>4</xdr:row>
      <xdr:rowOff>133350</xdr:rowOff>
    </xdr:from>
    <xdr:to>
      <xdr:col>45</xdr:col>
      <xdr:colOff>200025</xdr:colOff>
      <xdr:row>40</xdr:row>
      <xdr:rowOff>152400</xdr:rowOff>
    </xdr:to>
    <xdr:graphicFrame macro="">
      <xdr:nvGraphicFramePr>
        <xdr:cNvPr id="3193801" name="Chart 3">
          <a:extLst>
            <a:ext uri="{FF2B5EF4-FFF2-40B4-BE49-F238E27FC236}">
              <a16:creationId xmlns:a16="http://schemas.microsoft.com/office/drawing/2014/main" id="{78E16B4A-D7B4-1AA2-0A40-4684AF79ED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66675</xdr:colOff>
      <xdr:row>114</xdr:row>
      <xdr:rowOff>0</xdr:rowOff>
    </xdr:from>
    <xdr:to>
      <xdr:col>9</xdr:col>
      <xdr:colOff>371475</xdr:colOff>
      <xdr:row>163</xdr:row>
      <xdr:rowOff>148590</xdr:rowOff>
    </xdr:to>
    <xdr:pic>
      <xdr:nvPicPr>
        <xdr:cNvPr id="3193802" name="Picture 93">
          <a:extLst>
            <a:ext uri="{FF2B5EF4-FFF2-40B4-BE49-F238E27FC236}">
              <a16:creationId xmlns:a16="http://schemas.microsoft.com/office/drawing/2014/main" id="{BDD8AA48-4C83-986E-5571-0C72FBC1AED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675" y="18497550"/>
          <a:ext cx="6048375" cy="807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238125</xdr:colOff>
      <xdr:row>42</xdr:row>
      <xdr:rowOff>9525</xdr:rowOff>
    </xdr:from>
    <xdr:to>
      <xdr:col>37</xdr:col>
      <xdr:colOff>361950</xdr:colOff>
      <xdr:row>78</xdr:row>
      <xdr:rowOff>38100</xdr:rowOff>
    </xdr:to>
    <xdr:graphicFrame macro="">
      <xdr:nvGraphicFramePr>
        <xdr:cNvPr id="3193803" name="Chart 2">
          <a:extLst>
            <a:ext uri="{FF2B5EF4-FFF2-40B4-BE49-F238E27FC236}">
              <a16:creationId xmlns:a16="http://schemas.microsoft.com/office/drawing/2014/main" id="{AC6969DD-F783-0C8F-8BC6-2BC1D4D95B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38</xdr:col>
      <xdr:colOff>85725</xdr:colOff>
      <xdr:row>42</xdr:row>
      <xdr:rowOff>19050</xdr:rowOff>
    </xdr:from>
    <xdr:to>
      <xdr:col>45</xdr:col>
      <xdr:colOff>171450</xdr:colOff>
      <xdr:row>78</xdr:row>
      <xdr:rowOff>38100</xdr:rowOff>
    </xdr:to>
    <xdr:graphicFrame macro="">
      <xdr:nvGraphicFramePr>
        <xdr:cNvPr id="3193804" name="Chart 3">
          <a:extLst>
            <a:ext uri="{FF2B5EF4-FFF2-40B4-BE49-F238E27FC236}">
              <a16:creationId xmlns:a16="http://schemas.microsoft.com/office/drawing/2014/main" id="{8184816F-2DFC-65B9-0D0D-CDCB96A1AC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57150</xdr:colOff>
      <xdr:row>159</xdr:row>
      <xdr:rowOff>9525</xdr:rowOff>
    </xdr:from>
    <xdr:to>
      <xdr:col>8</xdr:col>
      <xdr:colOff>590550</xdr:colOff>
      <xdr:row>160</xdr:row>
      <xdr:rowOff>66675</xdr:rowOff>
    </xdr:to>
    <xdr:sp macro="" textlink="">
      <xdr:nvSpPr>
        <xdr:cNvPr id="8" name="TextBox 7">
          <a:extLst>
            <a:ext uri="{FF2B5EF4-FFF2-40B4-BE49-F238E27FC236}">
              <a16:creationId xmlns:a16="http://schemas.microsoft.com/office/drawing/2014/main" id="{0BAF0C3B-33D3-72A6-0187-5BDA5708A1BD}"/>
            </a:ext>
          </a:extLst>
        </xdr:cNvPr>
        <xdr:cNvSpPr txBox="1"/>
      </xdr:nvSpPr>
      <xdr:spPr>
        <a:xfrm>
          <a:off x="5200650" y="25793700"/>
          <a:ext cx="5334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solidFill>
                <a:sysClr val="windowText" lastClr="000000"/>
              </a:solidFill>
              <a:latin typeface="Arial" panose="020B0604020202020204" pitchFamily="34" charset="0"/>
              <a:cs typeface="Arial" panose="020B0604020202020204" pitchFamily="34" charset="0"/>
            </a:rPr>
            <a:t>0.1321</a:t>
          </a:r>
        </a:p>
      </xdr:txBody>
    </xdr:sp>
    <xdr:clientData/>
  </xdr:twoCellAnchor>
  <xdr:twoCellAnchor>
    <xdr:from>
      <xdr:col>8</xdr:col>
      <xdr:colOff>28575</xdr:colOff>
      <xdr:row>138</xdr:row>
      <xdr:rowOff>76200</xdr:rowOff>
    </xdr:from>
    <xdr:to>
      <xdr:col>8</xdr:col>
      <xdr:colOff>561975</xdr:colOff>
      <xdr:row>139</xdr:row>
      <xdr:rowOff>133350</xdr:rowOff>
    </xdr:to>
    <xdr:sp macro="" textlink="">
      <xdr:nvSpPr>
        <xdr:cNvPr id="9" name="TextBox 8">
          <a:extLst>
            <a:ext uri="{FF2B5EF4-FFF2-40B4-BE49-F238E27FC236}">
              <a16:creationId xmlns:a16="http://schemas.microsoft.com/office/drawing/2014/main" id="{14A3DF54-376A-67B5-5645-E8FBA11EEABD}"/>
            </a:ext>
          </a:extLst>
        </xdr:cNvPr>
        <xdr:cNvSpPr txBox="1"/>
      </xdr:nvSpPr>
      <xdr:spPr>
        <a:xfrm>
          <a:off x="5172075" y="22459950"/>
          <a:ext cx="5334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solidFill>
                <a:sysClr val="windowText" lastClr="000000"/>
              </a:solidFill>
              <a:latin typeface="Arial" panose="020B0604020202020204" pitchFamily="34" charset="0"/>
              <a:cs typeface="Arial" panose="020B0604020202020204" pitchFamily="34" charset="0"/>
            </a:rPr>
            <a:t>0.1221</a:t>
          </a:r>
        </a:p>
      </xdr:txBody>
    </xdr:sp>
    <xdr:clientData/>
  </xdr:twoCellAnchor>
  <xdr:twoCellAnchor>
    <xdr:from>
      <xdr:col>3</xdr:col>
      <xdr:colOff>9525</xdr:colOff>
      <xdr:row>120</xdr:row>
      <xdr:rowOff>123825</xdr:rowOff>
    </xdr:from>
    <xdr:to>
      <xdr:col>3</xdr:col>
      <xdr:colOff>542925</xdr:colOff>
      <xdr:row>122</xdr:row>
      <xdr:rowOff>19050</xdr:rowOff>
    </xdr:to>
    <xdr:sp macro="" textlink="">
      <xdr:nvSpPr>
        <xdr:cNvPr id="10" name="TextBox 9">
          <a:extLst>
            <a:ext uri="{FF2B5EF4-FFF2-40B4-BE49-F238E27FC236}">
              <a16:creationId xmlns:a16="http://schemas.microsoft.com/office/drawing/2014/main" id="{F38C29FF-FAB0-6F69-53C3-7089F350062B}"/>
            </a:ext>
          </a:extLst>
        </xdr:cNvPr>
        <xdr:cNvSpPr txBox="1"/>
      </xdr:nvSpPr>
      <xdr:spPr>
        <a:xfrm>
          <a:off x="2105025" y="19592925"/>
          <a:ext cx="5334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ysClr val="windowText" lastClr="000000"/>
              </a:solidFill>
              <a:latin typeface="Arial" panose="020B0604020202020204" pitchFamily="34" charset="0"/>
              <a:cs typeface="Arial" panose="020B0604020202020204" pitchFamily="34" charset="0"/>
            </a:rPr>
            <a:t>0.35</a:t>
          </a:r>
        </a:p>
      </xdr:txBody>
    </xdr:sp>
    <xdr:clientData/>
  </xdr:twoCellAnchor>
  <xdr:twoCellAnchor>
    <xdr:from>
      <xdr:col>12</xdr:col>
      <xdr:colOff>28575</xdr:colOff>
      <xdr:row>94</xdr:row>
      <xdr:rowOff>142875</xdr:rowOff>
    </xdr:from>
    <xdr:to>
      <xdr:col>12</xdr:col>
      <xdr:colOff>361950</xdr:colOff>
      <xdr:row>96</xdr:row>
      <xdr:rowOff>0</xdr:rowOff>
    </xdr:to>
    <xdr:sp macro="" textlink="">
      <xdr:nvSpPr>
        <xdr:cNvPr id="3193808" name="AutoShape 182">
          <a:extLst>
            <a:ext uri="{FF2B5EF4-FFF2-40B4-BE49-F238E27FC236}">
              <a16:creationId xmlns:a16="http://schemas.microsoft.com/office/drawing/2014/main" id="{5EDDFD6D-DF3E-A722-7774-B539E0F579C1}"/>
            </a:ext>
          </a:extLst>
        </xdr:cNvPr>
        <xdr:cNvSpPr>
          <a:spLocks noChangeArrowheads="1"/>
        </xdr:cNvSpPr>
      </xdr:nvSpPr>
      <xdr:spPr bwMode="auto">
        <a:xfrm>
          <a:off x="7534275" y="15401925"/>
          <a:ext cx="333375" cy="180975"/>
        </a:xfrm>
        <a:prstGeom prst="diamond">
          <a:avLst/>
        </a:prstGeom>
        <a:noFill/>
        <a:ln w="9525">
          <a:solidFill>
            <a:srgbClr xmlns:mc="http://schemas.openxmlformats.org/markup-compatibility/2006" xmlns:a14="http://schemas.microsoft.com/office/drawing/2010/main" val="FF0000" mc:Ignorable="a14" a14:legacySpreadsheetColorIndex="1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9</xdr:col>
      <xdr:colOff>180975</xdr:colOff>
      <xdr:row>21</xdr:row>
      <xdr:rowOff>47625</xdr:rowOff>
    </xdr:from>
    <xdr:to>
      <xdr:col>9</xdr:col>
      <xdr:colOff>400050</xdr:colOff>
      <xdr:row>22</xdr:row>
      <xdr:rowOff>95250</xdr:rowOff>
    </xdr:to>
    <xdr:sp macro="" textlink="">
      <xdr:nvSpPr>
        <xdr:cNvPr id="12" name="Text Box 92">
          <a:extLst>
            <a:ext uri="{FF2B5EF4-FFF2-40B4-BE49-F238E27FC236}">
              <a16:creationId xmlns:a16="http://schemas.microsoft.com/office/drawing/2014/main" id="{F56DF6AD-B1EC-71CA-97FD-5816CD9C0A16}"/>
            </a:ext>
          </a:extLst>
        </xdr:cNvPr>
        <xdr:cNvSpPr txBox="1">
          <a:spLocks noChangeArrowheads="1"/>
        </xdr:cNvSpPr>
      </xdr:nvSpPr>
      <xdr:spPr bwMode="auto">
        <a:xfrm>
          <a:off x="5934075" y="3486150"/>
          <a:ext cx="2190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h</a:t>
          </a:r>
          <a:r>
            <a:rPr lang="en-US" sz="800" b="0" i="0" u="none" strike="noStrike" baseline="0">
              <a:solidFill>
                <a:srgbClr val="0000FF"/>
              </a:solidFill>
              <a:latin typeface="Arial"/>
              <a:cs typeface="Arial"/>
            </a:rPr>
            <a:t>p</a:t>
          </a:r>
        </a:p>
      </xdr:txBody>
    </xdr:sp>
    <xdr:clientData/>
  </xdr:twoCellAnchor>
  <xdr:twoCellAnchor>
    <xdr:from>
      <xdr:col>5</xdr:col>
      <xdr:colOff>485775</xdr:colOff>
      <xdr:row>23</xdr:row>
      <xdr:rowOff>0</xdr:rowOff>
    </xdr:from>
    <xdr:to>
      <xdr:col>8</xdr:col>
      <xdr:colOff>333375</xdr:colOff>
      <xdr:row>24</xdr:row>
      <xdr:rowOff>123825</xdr:rowOff>
    </xdr:to>
    <xdr:sp macro="" textlink="">
      <xdr:nvSpPr>
        <xdr:cNvPr id="3193810" name="Rectangle 6">
          <a:extLst>
            <a:ext uri="{FF2B5EF4-FFF2-40B4-BE49-F238E27FC236}">
              <a16:creationId xmlns:a16="http://schemas.microsoft.com/office/drawing/2014/main" id="{B1FA918A-DD61-685D-FC71-6FD2CBC83A2E}"/>
            </a:ext>
          </a:extLst>
        </xdr:cNvPr>
        <xdr:cNvSpPr>
          <a:spLocks noChangeArrowheads="1"/>
        </xdr:cNvSpPr>
      </xdr:nvSpPr>
      <xdr:spPr bwMode="auto">
        <a:xfrm>
          <a:off x="3800475" y="3762375"/>
          <a:ext cx="1676400" cy="285750"/>
        </a:xfrm>
        <a:prstGeom prst="rect">
          <a:avLst/>
        </a:prstGeom>
        <a:noFill/>
        <a:ln w="12700"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304800</xdr:colOff>
      <xdr:row>20</xdr:row>
      <xdr:rowOff>104775</xdr:rowOff>
    </xdr:from>
    <xdr:to>
      <xdr:col>7</xdr:col>
      <xdr:colOff>504825</xdr:colOff>
      <xdr:row>23</xdr:row>
      <xdr:rowOff>0</xdr:rowOff>
    </xdr:to>
    <xdr:sp macro="" textlink="">
      <xdr:nvSpPr>
        <xdr:cNvPr id="3193811" name="Rectangle 7">
          <a:extLst>
            <a:ext uri="{FF2B5EF4-FFF2-40B4-BE49-F238E27FC236}">
              <a16:creationId xmlns:a16="http://schemas.microsoft.com/office/drawing/2014/main" id="{497C0684-8132-FC68-7248-E107AC20A1E2}"/>
            </a:ext>
          </a:extLst>
        </xdr:cNvPr>
        <xdr:cNvSpPr>
          <a:spLocks noChangeArrowheads="1"/>
        </xdr:cNvSpPr>
      </xdr:nvSpPr>
      <xdr:spPr bwMode="auto">
        <a:xfrm>
          <a:off x="4229100" y="3381375"/>
          <a:ext cx="809625" cy="381000"/>
        </a:xfrm>
        <a:prstGeom prst="rect">
          <a:avLst/>
        </a:prstGeom>
        <a:noFill/>
        <a:ln w="12700"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504825</xdr:colOff>
      <xdr:row>21</xdr:row>
      <xdr:rowOff>133350</xdr:rowOff>
    </xdr:from>
    <xdr:to>
      <xdr:col>8</xdr:col>
      <xdr:colOff>333375</xdr:colOff>
      <xdr:row>21</xdr:row>
      <xdr:rowOff>133350</xdr:rowOff>
    </xdr:to>
    <xdr:cxnSp macro="">
      <xdr:nvCxnSpPr>
        <xdr:cNvPr id="3193812" name="Straight Connector 8">
          <a:extLst>
            <a:ext uri="{FF2B5EF4-FFF2-40B4-BE49-F238E27FC236}">
              <a16:creationId xmlns:a16="http://schemas.microsoft.com/office/drawing/2014/main" id="{A7C12B98-22E8-0A97-2776-44B76F4BE1FF}"/>
            </a:ext>
          </a:extLst>
        </xdr:cNvPr>
        <xdr:cNvCxnSpPr>
          <a:cxnSpLocks noChangeShapeType="1"/>
        </xdr:cNvCxnSpPr>
      </xdr:nvCxnSpPr>
      <xdr:spPr bwMode="auto">
        <a:xfrm>
          <a:off x="5038725" y="3571875"/>
          <a:ext cx="438150"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485775</xdr:colOff>
      <xdr:row>21</xdr:row>
      <xdr:rowOff>133350</xdr:rowOff>
    </xdr:from>
    <xdr:to>
      <xdr:col>6</xdr:col>
      <xdr:colOff>304800</xdr:colOff>
      <xdr:row>21</xdr:row>
      <xdr:rowOff>133350</xdr:rowOff>
    </xdr:to>
    <xdr:cxnSp macro="">
      <xdr:nvCxnSpPr>
        <xdr:cNvPr id="3193813" name="Straight Connector 9">
          <a:extLst>
            <a:ext uri="{FF2B5EF4-FFF2-40B4-BE49-F238E27FC236}">
              <a16:creationId xmlns:a16="http://schemas.microsoft.com/office/drawing/2014/main" id="{8B0BC86E-48EF-DF65-A2E6-EDA7E96BFECC}"/>
            </a:ext>
          </a:extLst>
        </xdr:cNvPr>
        <xdr:cNvCxnSpPr>
          <a:cxnSpLocks noChangeShapeType="1"/>
        </xdr:cNvCxnSpPr>
      </xdr:nvCxnSpPr>
      <xdr:spPr bwMode="auto">
        <a:xfrm>
          <a:off x="3800475" y="3571875"/>
          <a:ext cx="42862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552450</xdr:colOff>
      <xdr:row>6</xdr:row>
      <xdr:rowOff>123825</xdr:rowOff>
    </xdr:from>
    <xdr:to>
      <xdr:col>8</xdr:col>
      <xdr:colOff>266700</xdr:colOff>
      <xdr:row>16</xdr:row>
      <xdr:rowOff>47625</xdr:rowOff>
    </xdr:to>
    <xdr:sp macro="" textlink="">
      <xdr:nvSpPr>
        <xdr:cNvPr id="3193814" name="Octagon 1">
          <a:extLst>
            <a:ext uri="{FF2B5EF4-FFF2-40B4-BE49-F238E27FC236}">
              <a16:creationId xmlns:a16="http://schemas.microsoft.com/office/drawing/2014/main" id="{63F45435-6C26-FF8F-0A9B-A8102868FE30}"/>
            </a:ext>
          </a:extLst>
        </xdr:cNvPr>
        <xdr:cNvSpPr>
          <a:spLocks noChangeArrowheads="1"/>
        </xdr:cNvSpPr>
      </xdr:nvSpPr>
      <xdr:spPr bwMode="auto">
        <a:xfrm>
          <a:off x="3867150" y="1133475"/>
          <a:ext cx="1543050" cy="1543050"/>
        </a:xfrm>
        <a:prstGeom prst="octagon">
          <a:avLst>
            <a:gd name="adj" fmla="val 29287"/>
          </a:avLst>
        </a:prstGeom>
        <a:noFill/>
        <a:ln w="12700"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104775</xdr:colOff>
      <xdr:row>5</xdr:row>
      <xdr:rowOff>85725</xdr:rowOff>
    </xdr:from>
    <xdr:to>
      <xdr:col>7</xdr:col>
      <xdr:colOff>104775</xdr:colOff>
      <xdr:row>17</xdr:row>
      <xdr:rowOff>76200</xdr:rowOff>
    </xdr:to>
    <xdr:cxnSp macro="">
      <xdr:nvCxnSpPr>
        <xdr:cNvPr id="3193815" name="Straight Connector 11">
          <a:extLst>
            <a:ext uri="{FF2B5EF4-FFF2-40B4-BE49-F238E27FC236}">
              <a16:creationId xmlns:a16="http://schemas.microsoft.com/office/drawing/2014/main" id="{C7AE9077-05E0-79A2-0903-7E0110E1EA49}"/>
            </a:ext>
          </a:extLst>
        </xdr:cNvPr>
        <xdr:cNvCxnSpPr>
          <a:cxnSpLocks noChangeShapeType="1"/>
        </xdr:cNvCxnSpPr>
      </xdr:nvCxnSpPr>
      <xdr:spPr bwMode="auto">
        <a:xfrm>
          <a:off x="4638675" y="933450"/>
          <a:ext cx="0" cy="1933575"/>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333375</xdr:colOff>
      <xdr:row>9</xdr:row>
      <xdr:rowOff>28575</xdr:rowOff>
    </xdr:from>
    <xdr:to>
      <xdr:col>7</xdr:col>
      <xdr:colOff>485775</xdr:colOff>
      <xdr:row>13</xdr:row>
      <xdr:rowOff>142875</xdr:rowOff>
    </xdr:to>
    <xdr:sp macro="" textlink="">
      <xdr:nvSpPr>
        <xdr:cNvPr id="3193816" name="Octagon 12">
          <a:extLst>
            <a:ext uri="{FF2B5EF4-FFF2-40B4-BE49-F238E27FC236}">
              <a16:creationId xmlns:a16="http://schemas.microsoft.com/office/drawing/2014/main" id="{CCF66BEB-E719-3A1F-4A1C-A2EE3FB081A8}"/>
            </a:ext>
          </a:extLst>
        </xdr:cNvPr>
        <xdr:cNvSpPr>
          <a:spLocks noChangeArrowheads="1"/>
        </xdr:cNvSpPr>
      </xdr:nvSpPr>
      <xdr:spPr bwMode="auto">
        <a:xfrm>
          <a:off x="4257675" y="1524000"/>
          <a:ext cx="762000" cy="762000"/>
        </a:xfrm>
        <a:prstGeom prst="octagon">
          <a:avLst>
            <a:gd name="adj" fmla="val 29287"/>
          </a:avLst>
        </a:prstGeom>
        <a:noFill/>
        <a:ln w="12700"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400050</xdr:colOff>
      <xdr:row>23</xdr:row>
      <xdr:rowOff>0</xdr:rowOff>
    </xdr:from>
    <xdr:to>
      <xdr:col>6</xdr:col>
      <xdr:colOff>400050</xdr:colOff>
      <xdr:row>24</xdr:row>
      <xdr:rowOff>123825</xdr:rowOff>
    </xdr:to>
    <xdr:cxnSp macro="">
      <xdr:nvCxnSpPr>
        <xdr:cNvPr id="3193817" name="Straight Connector 13">
          <a:extLst>
            <a:ext uri="{FF2B5EF4-FFF2-40B4-BE49-F238E27FC236}">
              <a16:creationId xmlns:a16="http://schemas.microsoft.com/office/drawing/2014/main" id="{FCF26EF1-34D5-54AF-BE3C-382580DA29DA}"/>
            </a:ext>
          </a:extLst>
        </xdr:cNvPr>
        <xdr:cNvCxnSpPr>
          <a:cxnSpLocks noChangeShapeType="1"/>
        </xdr:cNvCxnSpPr>
      </xdr:nvCxnSpPr>
      <xdr:spPr bwMode="auto">
        <a:xfrm>
          <a:off x="4324350" y="3762375"/>
          <a:ext cx="0" cy="285750"/>
        </a:xfrm>
        <a:prstGeom prst="line">
          <a:avLst/>
        </a:prstGeom>
        <a:noFill/>
        <a:ln w="12700"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419100</xdr:colOff>
      <xdr:row>23</xdr:row>
      <xdr:rowOff>0</xdr:rowOff>
    </xdr:from>
    <xdr:to>
      <xdr:col>7</xdr:col>
      <xdr:colOff>419100</xdr:colOff>
      <xdr:row>24</xdr:row>
      <xdr:rowOff>123825</xdr:rowOff>
    </xdr:to>
    <xdr:cxnSp macro="">
      <xdr:nvCxnSpPr>
        <xdr:cNvPr id="3193818" name="Straight Connector 21">
          <a:extLst>
            <a:ext uri="{FF2B5EF4-FFF2-40B4-BE49-F238E27FC236}">
              <a16:creationId xmlns:a16="http://schemas.microsoft.com/office/drawing/2014/main" id="{2C251A9D-B8B7-4E02-BBEB-A2AE41F03D8E}"/>
            </a:ext>
          </a:extLst>
        </xdr:cNvPr>
        <xdr:cNvCxnSpPr>
          <a:cxnSpLocks noChangeShapeType="1"/>
        </xdr:cNvCxnSpPr>
      </xdr:nvCxnSpPr>
      <xdr:spPr bwMode="auto">
        <a:xfrm>
          <a:off x="4953000" y="3762375"/>
          <a:ext cx="0" cy="285750"/>
        </a:xfrm>
        <a:prstGeom prst="line">
          <a:avLst/>
        </a:prstGeom>
        <a:noFill/>
        <a:ln w="12700"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552450</xdr:colOff>
      <xdr:row>20</xdr:row>
      <xdr:rowOff>114300</xdr:rowOff>
    </xdr:from>
    <xdr:to>
      <xdr:col>6</xdr:col>
      <xdr:colOff>552450</xdr:colOff>
      <xdr:row>23</xdr:row>
      <xdr:rowOff>0</xdr:rowOff>
    </xdr:to>
    <xdr:cxnSp macro="">
      <xdr:nvCxnSpPr>
        <xdr:cNvPr id="3193819" name="Straight Connector 25">
          <a:extLst>
            <a:ext uri="{FF2B5EF4-FFF2-40B4-BE49-F238E27FC236}">
              <a16:creationId xmlns:a16="http://schemas.microsoft.com/office/drawing/2014/main" id="{D2D0386E-3EB0-CF33-BB2A-C214250713DC}"/>
            </a:ext>
          </a:extLst>
        </xdr:cNvPr>
        <xdr:cNvCxnSpPr>
          <a:cxnSpLocks noChangeShapeType="1"/>
        </xdr:cNvCxnSpPr>
      </xdr:nvCxnSpPr>
      <xdr:spPr bwMode="auto">
        <a:xfrm>
          <a:off x="4476750" y="3390900"/>
          <a:ext cx="0" cy="371475"/>
        </a:xfrm>
        <a:prstGeom prst="line">
          <a:avLst/>
        </a:prstGeom>
        <a:noFill/>
        <a:ln w="12700"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276225</xdr:colOff>
      <xdr:row>20</xdr:row>
      <xdr:rowOff>114300</xdr:rowOff>
    </xdr:from>
    <xdr:to>
      <xdr:col>7</xdr:col>
      <xdr:colOff>276225</xdr:colOff>
      <xdr:row>23</xdr:row>
      <xdr:rowOff>0</xdr:rowOff>
    </xdr:to>
    <xdr:cxnSp macro="">
      <xdr:nvCxnSpPr>
        <xdr:cNvPr id="3193820" name="Straight Connector 26">
          <a:extLst>
            <a:ext uri="{FF2B5EF4-FFF2-40B4-BE49-F238E27FC236}">
              <a16:creationId xmlns:a16="http://schemas.microsoft.com/office/drawing/2014/main" id="{A67FEDFC-D6EB-CB23-A4D6-2000179AC5D8}"/>
            </a:ext>
          </a:extLst>
        </xdr:cNvPr>
        <xdr:cNvCxnSpPr>
          <a:cxnSpLocks noChangeShapeType="1"/>
        </xdr:cNvCxnSpPr>
      </xdr:nvCxnSpPr>
      <xdr:spPr bwMode="auto">
        <a:xfrm>
          <a:off x="4810125" y="3390900"/>
          <a:ext cx="0" cy="371475"/>
        </a:xfrm>
        <a:prstGeom prst="line">
          <a:avLst/>
        </a:prstGeom>
        <a:noFill/>
        <a:ln w="12700"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104775</xdr:colOff>
      <xdr:row>18</xdr:row>
      <xdr:rowOff>19050</xdr:rowOff>
    </xdr:from>
    <xdr:to>
      <xdr:col>7</xdr:col>
      <xdr:colOff>114300</xdr:colOff>
      <xdr:row>20</xdr:row>
      <xdr:rowOff>95250</xdr:rowOff>
    </xdr:to>
    <xdr:cxnSp macro="">
      <xdr:nvCxnSpPr>
        <xdr:cNvPr id="3193821" name="Straight Arrow Connector 18">
          <a:extLst>
            <a:ext uri="{FF2B5EF4-FFF2-40B4-BE49-F238E27FC236}">
              <a16:creationId xmlns:a16="http://schemas.microsoft.com/office/drawing/2014/main" id="{5E3855F9-8C20-048B-CE3A-83DFB243411E}"/>
            </a:ext>
          </a:extLst>
        </xdr:cNvPr>
        <xdr:cNvCxnSpPr>
          <a:cxnSpLocks noChangeShapeType="1"/>
        </xdr:cNvCxnSpPr>
      </xdr:nvCxnSpPr>
      <xdr:spPr bwMode="auto">
        <a:xfrm flipH="1">
          <a:off x="4638675" y="2971800"/>
          <a:ext cx="9525" cy="400050"/>
        </a:xfrm>
        <a:prstGeom prst="straightConnector1">
          <a:avLst/>
        </a:prstGeom>
        <a:noFill/>
        <a:ln w="12700" algn="ctr">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542925</xdr:colOff>
      <xdr:row>20</xdr:row>
      <xdr:rowOff>114300</xdr:rowOff>
    </xdr:from>
    <xdr:to>
      <xdr:col>6</xdr:col>
      <xdr:colOff>295275</xdr:colOff>
      <xdr:row>20</xdr:row>
      <xdr:rowOff>114300</xdr:rowOff>
    </xdr:to>
    <xdr:cxnSp macro="">
      <xdr:nvCxnSpPr>
        <xdr:cNvPr id="3193822" name="Straight Arrow Connector 20">
          <a:extLst>
            <a:ext uri="{FF2B5EF4-FFF2-40B4-BE49-F238E27FC236}">
              <a16:creationId xmlns:a16="http://schemas.microsoft.com/office/drawing/2014/main" id="{096339CF-DA2C-98AE-7B4A-8D5C9653BFDC}"/>
            </a:ext>
          </a:extLst>
        </xdr:cNvPr>
        <xdr:cNvCxnSpPr>
          <a:cxnSpLocks noChangeShapeType="1"/>
        </xdr:cNvCxnSpPr>
      </xdr:nvCxnSpPr>
      <xdr:spPr bwMode="auto">
        <a:xfrm>
          <a:off x="3857625" y="3390900"/>
          <a:ext cx="361950" cy="0"/>
        </a:xfrm>
        <a:prstGeom prst="straightConnector1">
          <a:avLst/>
        </a:prstGeom>
        <a:noFill/>
        <a:ln w="12700" algn="ctr">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485775</xdr:colOff>
      <xdr:row>24</xdr:row>
      <xdr:rowOff>133350</xdr:rowOff>
    </xdr:from>
    <xdr:to>
      <xdr:col>8</xdr:col>
      <xdr:colOff>333375</xdr:colOff>
      <xdr:row>25</xdr:row>
      <xdr:rowOff>95250</xdr:rowOff>
    </xdr:to>
    <xdr:sp macro="" textlink="">
      <xdr:nvSpPr>
        <xdr:cNvPr id="3193823" name="Rectangle 51" descr="Small confetti">
          <a:extLst>
            <a:ext uri="{FF2B5EF4-FFF2-40B4-BE49-F238E27FC236}">
              <a16:creationId xmlns:a16="http://schemas.microsoft.com/office/drawing/2014/main" id="{C02FA25F-388F-3C47-1B26-AEA43D4EE1EA}"/>
            </a:ext>
          </a:extLst>
        </xdr:cNvPr>
        <xdr:cNvSpPr>
          <a:spLocks noChangeArrowheads="1"/>
        </xdr:cNvSpPr>
      </xdr:nvSpPr>
      <xdr:spPr bwMode="auto">
        <a:xfrm>
          <a:off x="3800475" y="4057650"/>
          <a:ext cx="1676400" cy="123825"/>
        </a:xfrm>
        <a:prstGeom prst="rect">
          <a:avLst/>
        </a:prstGeom>
        <a:pattFill prst="smConfetti">
          <a:fgClr>
            <a:srgbClr xmlns:mc="http://schemas.openxmlformats.org/markup-compatibility/2006" xmlns:a14="http://schemas.microsoft.com/office/drawing/2010/main" val="993300" mc:Ignorable="a14" a14:legacySpreadsheetColorIndex="6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7</xdr:col>
      <xdr:colOff>523875</xdr:colOff>
      <xdr:row>21</xdr:row>
      <xdr:rowOff>142875</xdr:rowOff>
    </xdr:from>
    <xdr:to>
      <xdr:col>8</xdr:col>
      <xdr:colOff>352425</xdr:colOff>
      <xdr:row>22</xdr:row>
      <xdr:rowOff>152400</xdr:rowOff>
    </xdr:to>
    <xdr:sp macro="" textlink="">
      <xdr:nvSpPr>
        <xdr:cNvPr id="3193824" name="Rectangle 47" descr="Small confetti">
          <a:extLst>
            <a:ext uri="{FF2B5EF4-FFF2-40B4-BE49-F238E27FC236}">
              <a16:creationId xmlns:a16="http://schemas.microsoft.com/office/drawing/2014/main" id="{3C643110-4DE7-63F1-8949-14CDAAF07C97}"/>
            </a:ext>
          </a:extLst>
        </xdr:cNvPr>
        <xdr:cNvSpPr>
          <a:spLocks noChangeArrowheads="1"/>
        </xdr:cNvSpPr>
      </xdr:nvSpPr>
      <xdr:spPr bwMode="auto">
        <a:xfrm>
          <a:off x="5057775" y="3581400"/>
          <a:ext cx="438150" cy="171450"/>
        </a:xfrm>
        <a:prstGeom prst="rect">
          <a:avLst/>
        </a:prstGeom>
        <a:pattFill prst="smConfetti">
          <a:fgClr>
            <a:srgbClr xmlns:mc="http://schemas.openxmlformats.org/markup-compatibility/2006" xmlns:a14="http://schemas.microsoft.com/office/drawing/2010/main" val="993300" mc:Ignorable="a14" a14:legacySpreadsheetColorIndex="6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476250</xdr:colOff>
      <xdr:row>21</xdr:row>
      <xdr:rowOff>142875</xdr:rowOff>
    </xdr:from>
    <xdr:to>
      <xdr:col>6</xdr:col>
      <xdr:colOff>295275</xdr:colOff>
      <xdr:row>22</xdr:row>
      <xdr:rowOff>152400</xdr:rowOff>
    </xdr:to>
    <xdr:sp macro="" textlink="">
      <xdr:nvSpPr>
        <xdr:cNvPr id="3193825" name="Rectangle 47" descr="Small confetti">
          <a:extLst>
            <a:ext uri="{FF2B5EF4-FFF2-40B4-BE49-F238E27FC236}">
              <a16:creationId xmlns:a16="http://schemas.microsoft.com/office/drawing/2014/main" id="{89EC520A-B9BF-58E7-DEFC-5F7B4317C67D}"/>
            </a:ext>
          </a:extLst>
        </xdr:cNvPr>
        <xdr:cNvSpPr>
          <a:spLocks noChangeArrowheads="1"/>
        </xdr:cNvSpPr>
      </xdr:nvSpPr>
      <xdr:spPr bwMode="auto">
        <a:xfrm>
          <a:off x="3790950" y="3581400"/>
          <a:ext cx="428625" cy="171450"/>
        </a:xfrm>
        <a:prstGeom prst="rect">
          <a:avLst/>
        </a:prstGeom>
        <a:pattFill prst="smConfetti">
          <a:fgClr>
            <a:srgbClr xmlns:mc="http://schemas.openxmlformats.org/markup-compatibility/2006" xmlns:a14="http://schemas.microsoft.com/office/drawing/2010/main" val="993300" mc:Ignorable="a14" a14:legacySpreadsheetColorIndex="6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485775</xdr:colOff>
      <xdr:row>25</xdr:row>
      <xdr:rowOff>0</xdr:rowOff>
    </xdr:from>
    <xdr:to>
      <xdr:col>5</xdr:col>
      <xdr:colOff>485775</xdr:colOff>
      <xdr:row>26</xdr:row>
      <xdr:rowOff>142875</xdr:rowOff>
    </xdr:to>
    <xdr:cxnSp macro="">
      <xdr:nvCxnSpPr>
        <xdr:cNvPr id="3193826" name="Straight Connector 28">
          <a:extLst>
            <a:ext uri="{FF2B5EF4-FFF2-40B4-BE49-F238E27FC236}">
              <a16:creationId xmlns:a16="http://schemas.microsoft.com/office/drawing/2014/main" id="{C36E8E2D-921C-EEBA-AF75-3A710B0E7B5F}"/>
            </a:ext>
          </a:extLst>
        </xdr:cNvPr>
        <xdr:cNvCxnSpPr>
          <a:cxnSpLocks noChangeShapeType="1"/>
        </xdr:cNvCxnSpPr>
      </xdr:nvCxnSpPr>
      <xdr:spPr bwMode="auto">
        <a:xfrm>
          <a:off x="3800475" y="4086225"/>
          <a:ext cx="0" cy="30480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333375</xdr:colOff>
      <xdr:row>25</xdr:row>
      <xdr:rowOff>0</xdr:rowOff>
    </xdr:from>
    <xdr:to>
      <xdr:col>8</xdr:col>
      <xdr:colOff>333375</xdr:colOff>
      <xdr:row>26</xdr:row>
      <xdr:rowOff>142875</xdr:rowOff>
    </xdr:to>
    <xdr:cxnSp macro="">
      <xdr:nvCxnSpPr>
        <xdr:cNvPr id="3193827" name="Straight Connector 38">
          <a:extLst>
            <a:ext uri="{FF2B5EF4-FFF2-40B4-BE49-F238E27FC236}">
              <a16:creationId xmlns:a16="http://schemas.microsoft.com/office/drawing/2014/main" id="{563D2DD8-977F-3405-E1C8-CF2BD6D7A68C}"/>
            </a:ext>
          </a:extLst>
        </xdr:cNvPr>
        <xdr:cNvCxnSpPr>
          <a:cxnSpLocks noChangeShapeType="1"/>
        </xdr:cNvCxnSpPr>
      </xdr:nvCxnSpPr>
      <xdr:spPr bwMode="auto">
        <a:xfrm>
          <a:off x="5476875" y="4086225"/>
          <a:ext cx="0" cy="30480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485775</xdr:colOff>
      <xdr:row>26</xdr:row>
      <xdr:rowOff>66675</xdr:rowOff>
    </xdr:from>
    <xdr:to>
      <xdr:col>8</xdr:col>
      <xdr:colOff>333375</xdr:colOff>
      <xdr:row>26</xdr:row>
      <xdr:rowOff>66675</xdr:rowOff>
    </xdr:to>
    <xdr:sp macro="" textlink="">
      <xdr:nvSpPr>
        <xdr:cNvPr id="3193828" name="Line 64">
          <a:extLst>
            <a:ext uri="{FF2B5EF4-FFF2-40B4-BE49-F238E27FC236}">
              <a16:creationId xmlns:a16="http://schemas.microsoft.com/office/drawing/2014/main" id="{13915A26-EB2B-23E0-1343-03A78A24D109}"/>
            </a:ext>
          </a:extLst>
        </xdr:cNvPr>
        <xdr:cNvSpPr>
          <a:spLocks noChangeShapeType="1"/>
        </xdr:cNvSpPr>
      </xdr:nvSpPr>
      <xdr:spPr bwMode="auto">
        <a:xfrm>
          <a:off x="3800475" y="4314825"/>
          <a:ext cx="1676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7</xdr:col>
      <xdr:colOff>38100</xdr:colOff>
      <xdr:row>25</xdr:row>
      <xdr:rowOff>66675</xdr:rowOff>
    </xdr:from>
    <xdr:to>
      <xdr:col>7</xdr:col>
      <xdr:colOff>238125</xdr:colOff>
      <xdr:row>26</xdr:row>
      <xdr:rowOff>104775</xdr:rowOff>
    </xdr:to>
    <xdr:sp macro="" textlink="">
      <xdr:nvSpPr>
        <xdr:cNvPr id="32" name="Text Box 94">
          <a:extLst>
            <a:ext uri="{FF2B5EF4-FFF2-40B4-BE49-F238E27FC236}">
              <a16:creationId xmlns:a16="http://schemas.microsoft.com/office/drawing/2014/main" id="{D2C6BAAF-E908-3382-59CC-C21B5E610157}"/>
            </a:ext>
          </a:extLst>
        </xdr:cNvPr>
        <xdr:cNvSpPr txBox="1">
          <a:spLocks noChangeArrowheads="1"/>
        </xdr:cNvSpPr>
      </xdr:nvSpPr>
      <xdr:spPr bwMode="auto">
        <a:xfrm>
          <a:off x="4572000" y="4152900"/>
          <a:ext cx="2000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L</a:t>
          </a:r>
        </a:p>
      </xdr:txBody>
    </xdr:sp>
    <xdr:clientData/>
  </xdr:twoCellAnchor>
  <xdr:twoCellAnchor>
    <xdr:from>
      <xdr:col>8</xdr:col>
      <xdr:colOff>361950</xdr:colOff>
      <xdr:row>24</xdr:row>
      <xdr:rowOff>123825</xdr:rowOff>
    </xdr:from>
    <xdr:to>
      <xdr:col>9</xdr:col>
      <xdr:colOff>0</xdr:colOff>
      <xdr:row>24</xdr:row>
      <xdr:rowOff>123825</xdr:rowOff>
    </xdr:to>
    <xdr:sp macro="" textlink="">
      <xdr:nvSpPr>
        <xdr:cNvPr id="3193830" name="Line 55">
          <a:extLst>
            <a:ext uri="{FF2B5EF4-FFF2-40B4-BE49-F238E27FC236}">
              <a16:creationId xmlns:a16="http://schemas.microsoft.com/office/drawing/2014/main" id="{62ABBC76-88D0-8BFD-5A7E-290163171F52}"/>
            </a:ext>
          </a:extLst>
        </xdr:cNvPr>
        <xdr:cNvSpPr>
          <a:spLocks noChangeShapeType="1"/>
        </xdr:cNvSpPr>
      </xdr:nvSpPr>
      <xdr:spPr bwMode="auto">
        <a:xfrm>
          <a:off x="5505450" y="4048125"/>
          <a:ext cx="247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371475</xdr:colOff>
      <xdr:row>23</xdr:row>
      <xdr:rowOff>0</xdr:rowOff>
    </xdr:from>
    <xdr:to>
      <xdr:col>9</xdr:col>
      <xdr:colOff>247650</xdr:colOff>
      <xdr:row>23</xdr:row>
      <xdr:rowOff>0</xdr:rowOff>
    </xdr:to>
    <xdr:sp macro="" textlink="">
      <xdr:nvSpPr>
        <xdr:cNvPr id="3193831" name="Line 56">
          <a:extLst>
            <a:ext uri="{FF2B5EF4-FFF2-40B4-BE49-F238E27FC236}">
              <a16:creationId xmlns:a16="http://schemas.microsoft.com/office/drawing/2014/main" id="{08439810-582B-AFBB-D9D4-1A854071B088}"/>
            </a:ext>
          </a:extLst>
        </xdr:cNvPr>
        <xdr:cNvSpPr>
          <a:spLocks noChangeShapeType="1"/>
        </xdr:cNvSpPr>
      </xdr:nvSpPr>
      <xdr:spPr bwMode="auto">
        <a:xfrm>
          <a:off x="5514975" y="3762375"/>
          <a:ext cx="48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361950</xdr:colOff>
      <xdr:row>21</xdr:row>
      <xdr:rowOff>133350</xdr:rowOff>
    </xdr:from>
    <xdr:to>
      <xdr:col>8</xdr:col>
      <xdr:colOff>590550</xdr:colOff>
      <xdr:row>21</xdr:row>
      <xdr:rowOff>133350</xdr:rowOff>
    </xdr:to>
    <xdr:sp macro="" textlink="">
      <xdr:nvSpPr>
        <xdr:cNvPr id="3193832" name="Line 57">
          <a:extLst>
            <a:ext uri="{FF2B5EF4-FFF2-40B4-BE49-F238E27FC236}">
              <a16:creationId xmlns:a16="http://schemas.microsoft.com/office/drawing/2014/main" id="{F4B5244D-C069-A191-0825-F57EE1DB6759}"/>
            </a:ext>
          </a:extLst>
        </xdr:cNvPr>
        <xdr:cNvSpPr>
          <a:spLocks noChangeShapeType="1"/>
        </xdr:cNvSpPr>
      </xdr:nvSpPr>
      <xdr:spPr bwMode="auto">
        <a:xfrm>
          <a:off x="5505450" y="3571875"/>
          <a:ext cx="228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514350</xdr:colOff>
      <xdr:row>21</xdr:row>
      <xdr:rowOff>133350</xdr:rowOff>
    </xdr:from>
    <xdr:to>
      <xdr:col>8</xdr:col>
      <xdr:colOff>514350</xdr:colOff>
      <xdr:row>23</xdr:row>
      <xdr:rowOff>9525</xdr:rowOff>
    </xdr:to>
    <xdr:sp macro="" textlink="">
      <xdr:nvSpPr>
        <xdr:cNvPr id="3193833" name="Line 59">
          <a:extLst>
            <a:ext uri="{FF2B5EF4-FFF2-40B4-BE49-F238E27FC236}">
              <a16:creationId xmlns:a16="http://schemas.microsoft.com/office/drawing/2014/main" id="{C6337A4B-39BE-C2EF-3D07-E0BE05B51F3B}"/>
            </a:ext>
          </a:extLst>
        </xdr:cNvPr>
        <xdr:cNvSpPr>
          <a:spLocks noChangeShapeType="1"/>
        </xdr:cNvSpPr>
      </xdr:nvSpPr>
      <xdr:spPr bwMode="auto">
        <a:xfrm>
          <a:off x="5657850" y="357187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514350</xdr:colOff>
      <xdr:row>23</xdr:row>
      <xdr:rowOff>0</xdr:rowOff>
    </xdr:from>
    <xdr:to>
      <xdr:col>8</xdr:col>
      <xdr:colOff>514350</xdr:colOff>
      <xdr:row>24</xdr:row>
      <xdr:rowOff>123825</xdr:rowOff>
    </xdr:to>
    <xdr:sp macro="" textlink="">
      <xdr:nvSpPr>
        <xdr:cNvPr id="3193834" name="Line 60">
          <a:extLst>
            <a:ext uri="{FF2B5EF4-FFF2-40B4-BE49-F238E27FC236}">
              <a16:creationId xmlns:a16="http://schemas.microsoft.com/office/drawing/2014/main" id="{CD261825-02ED-3E78-47FD-89E81A8E34AA}"/>
            </a:ext>
          </a:extLst>
        </xdr:cNvPr>
        <xdr:cNvSpPr>
          <a:spLocks noChangeShapeType="1"/>
        </xdr:cNvSpPr>
      </xdr:nvSpPr>
      <xdr:spPr bwMode="auto">
        <a:xfrm>
          <a:off x="5657850" y="3762375"/>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9</xdr:col>
      <xdr:colOff>161925</xdr:colOff>
      <xdr:row>20</xdr:row>
      <xdr:rowOff>104775</xdr:rowOff>
    </xdr:from>
    <xdr:to>
      <xdr:col>9</xdr:col>
      <xdr:colOff>161925</xdr:colOff>
      <xdr:row>23</xdr:row>
      <xdr:rowOff>0</xdr:rowOff>
    </xdr:to>
    <xdr:sp macro="" textlink="">
      <xdr:nvSpPr>
        <xdr:cNvPr id="3193835" name="Line 66">
          <a:extLst>
            <a:ext uri="{FF2B5EF4-FFF2-40B4-BE49-F238E27FC236}">
              <a16:creationId xmlns:a16="http://schemas.microsoft.com/office/drawing/2014/main" id="{FE52A7B0-D6C9-3BA8-FEE9-37B712E30F68}"/>
            </a:ext>
          </a:extLst>
        </xdr:cNvPr>
        <xdr:cNvSpPr>
          <a:spLocks noChangeShapeType="1"/>
        </xdr:cNvSpPr>
      </xdr:nvSpPr>
      <xdr:spPr bwMode="auto">
        <a:xfrm>
          <a:off x="5915025" y="3381375"/>
          <a:ext cx="0" cy="3810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523875</xdr:colOff>
      <xdr:row>21</xdr:row>
      <xdr:rowOff>152400</xdr:rowOff>
    </xdr:from>
    <xdr:to>
      <xdr:col>9</xdr:col>
      <xdr:colOff>180975</xdr:colOff>
      <xdr:row>23</xdr:row>
      <xdr:rowOff>28575</xdr:rowOff>
    </xdr:to>
    <xdr:sp macro="" textlink="">
      <xdr:nvSpPr>
        <xdr:cNvPr id="39" name="Text Box 91">
          <a:extLst>
            <a:ext uri="{FF2B5EF4-FFF2-40B4-BE49-F238E27FC236}">
              <a16:creationId xmlns:a16="http://schemas.microsoft.com/office/drawing/2014/main" id="{71760F43-CF97-5458-69A5-6D8F925BEA56}"/>
            </a:ext>
          </a:extLst>
        </xdr:cNvPr>
        <xdr:cNvSpPr txBox="1">
          <a:spLocks noChangeArrowheads="1"/>
        </xdr:cNvSpPr>
      </xdr:nvSpPr>
      <xdr:spPr bwMode="auto">
        <a:xfrm>
          <a:off x="5667375" y="3590925"/>
          <a:ext cx="2667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D</a:t>
          </a:r>
          <a:r>
            <a:rPr lang="en-US" sz="800" b="0" i="0" u="none" strike="noStrike" baseline="0">
              <a:solidFill>
                <a:srgbClr val="0000FF"/>
              </a:solidFill>
              <a:latin typeface="Arial"/>
              <a:cs typeface="Arial"/>
            </a:rPr>
            <a:t>s</a:t>
          </a:r>
        </a:p>
      </xdr:txBody>
    </xdr:sp>
    <xdr:clientData/>
  </xdr:twoCellAnchor>
  <xdr:twoCellAnchor>
    <xdr:from>
      <xdr:col>8</xdr:col>
      <xdr:colOff>533400</xdr:colOff>
      <xdr:row>23</xdr:row>
      <xdr:rowOff>57150</xdr:rowOff>
    </xdr:from>
    <xdr:to>
      <xdr:col>9</xdr:col>
      <xdr:colOff>152400</xdr:colOff>
      <xdr:row>24</xdr:row>
      <xdr:rowOff>104775</xdr:rowOff>
    </xdr:to>
    <xdr:sp macro="" textlink="">
      <xdr:nvSpPr>
        <xdr:cNvPr id="40" name="Text Box 93">
          <a:extLst>
            <a:ext uri="{FF2B5EF4-FFF2-40B4-BE49-F238E27FC236}">
              <a16:creationId xmlns:a16="http://schemas.microsoft.com/office/drawing/2014/main" id="{DCDEC468-87B1-5CB4-E5FE-E903930A3136}"/>
            </a:ext>
          </a:extLst>
        </xdr:cNvPr>
        <xdr:cNvSpPr txBox="1">
          <a:spLocks noChangeArrowheads="1"/>
        </xdr:cNvSpPr>
      </xdr:nvSpPr>
      <xdr:spPr bwMode="auto">
        <a:xfrm>
          <a:off x="5676900" y="3819525"/>
          <a:ext cx="22860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T</a:t>
          </a:r>
          <a:r>
            <a:rPr lang="en-US" sz="800" b="0" i="0" u="none" strike="noStrike" baseline="0">
              <a:solidFill>
                <a:srgbClr val="0000FF"/>
              </a:solidFill>
              <a:latin typeface="Arial"/>
              <a:cs typeface="Arial"/>
            </a:rPr>
            <a:t>f</a:t>
          </a:r>
        </a:p>
      </xdr:txBody>
    </xdr:sp>
    <xdr:clientData/>
  </xdr:twoCellAnchor>
  <xdr:twoCellAnchor>
    <xdr:from>
      <xdr:col>7</xdr:col>
      <xdr:colOff>542925</xdr:colOff>
      <xdr:row>20</xdr:row>
      <xdr:rowOff>104775</xdr:rowOff>
    </xdr:from>
    <xdr:to>
      <xdr:col>9</xdr:col>
      <xdr:colOff>257175</xdr:colOff>
      <xdr:row>20</xdr:row>
      <xdr:rowOff>104775</xdr:rowOff>
    </xdr:to>
    <xdr:sp macro="" textlink="">
      <xdr:nvSpPr>
        <xdr:cNvPr id="3193838" name="Line 58">
          <a:extLst>
            <a:ext uri="{FF2B5EF4-FFF2-40B4-BE49-F238E27FC236}">
              <a16:creationId xmlns:a16="http://schemas.microsoft.com/office/drawing/2014/main" id="{0A81FE88-5E92-66A4-47C5-2FE1387A90D0}"/>
            </a:ext>
          </a:extLst>
        </xdr:cNvPr>
        <xdr:cNvSpPr>
          <a:spLocks noChangeShapeType="1"/>
        </xdr:cNvSpPr>
      </xdr:nvSpPr>
      <xdr:spPr bwMode="auto">
        <a:xfrm flipV="1">
          <a:off x="5076825" y="3381375"/>
          <a:ext cx="933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28575</xdr:colOff>
      <xdr:row>19</xdr:row>
      <xdr:rowOff>114300</xdr:rowOff>
    </xdr:from>
    <xdr:to>
      <xdr:col>6</xdr:col>
      <xdr:colOff>352425</xdr:colOff>
      <xdr:row>21</xdr:row>
      <xdr:rowOff>19050</xdr:rowOff>
    </xdr:to>
    <xdr:sp macro="" textlink="">
      <xdr:nvSpPr>
        <xdr:cNvPr id="42" name="Text Box 89">
          <a:extLst>
            <a:ext uri="{FF2B5EF4-FFF2-40B4-BE49-F238E27FC236}">
              <a16:creationId xmlns:a16="http://schemas.microsoft.com/office/drawing/2014/main" id="{D1E5EF70-1F87-6859-6BBB-088C9AB8CAF7}"/>
            </a:ext>
          </a:extLst>
        </xdr:cNvPr>
        <xdr:cNvSpPr txBox="1">
          <a:spLocks noChangeArrowheads="1"/>
        </xdr:cNvSpPr>
      </xdr:nvSpPr>
      <xdr:spPr bwMode="auto">
        <a:xfrm>
          <a:off x="3952875" y="3228975"/>
          <a:ext cx="32385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+H</a:t>
          </a:r>
          <a:endParaRPr lang="en-US" sz="800" b="0" i="0" u="none" strike="noStrike" baseline="0">
            <a:solidFill>
              <a:srgbClr val="0000FF"/>
            </a:solidFill>
            <a:latin typeface="Arial"/>
            <a:cs typeface="Arial"/>
          </a:endParaRPr>
        </a:p>
      </xdr:txBody>
    </xdr:sp>
    <xdr:clientData/>
  </xdr:twoCellAnchor>
  <xdr:twoCellAnchor>
    <xdr:from>
      <xdr:col>5</xdr:col>
      <xdr:colOff>295275</xdr:colOff>
      <xdr:row>20</xdr:row>
      <xdr:rowOff>85725</xdr:rowOff>
    </xdr:from>
    <xdr:to>
      <xdr:col>5</xdr:col>
      <xdr:colOff>514350</xdr:colOff>
      <xdr:row>21</xdr:row>
      <xdr:rowOff>114300</xdr:rowOff>
    </xdr:to>
    <xdr:sp macro="" textlink="">
      <xdr:nvSpPr>
        <xdr:cNvPr id="43" name="Text Box 90">
          <a:extLst>
            <a:ext uri="{FF2B5EF4-FFF2-40B4-BE49-F238E27FC236}">
              <a16:creationId xmlns:a16="http://schemas.microsoft.com/office/drawing/2014/main" id="{2245DF63-B7C7-7525-FED3-BE691D5C7323}"/>
            </a:ext>
          </a:extLst>
        </xdr:cNvPr>
        <xdr:cNvSpPr txBox="1">
          <a:spLocks noChangeArrowheads="1"/>
        </xdr:cNvSpPr>
      </xdr:nvSpPr>
      <xdr:spPr bwMode="auto">
        <a:xfrm>
          <a:off x="3609975" y="3362325"/>
          <a:ext cx="2190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Q</a:t>
          </a:r>
        </a:p>
      </xdr:txBody>
    </xdr:sp>
    <xdr:clientData/>
  </xdr:twoCellAnchor>
  <xdr:twoCellAnchor>
    <xdr:from>
      <xdr:col>8</xdr:col>
      <xdr:colOff>257175</xdr:colOff>
      <xdr:row>21</xdr:row>
      <xdr:rowOff>19050</xdr:rowOff>
    </xdr:from>
    <xdr:to>
      <xdr:col>8</xdr:col>
      <xdr:colOff>333375</xdr:colOff>
      <xdr:row>21</xdr:row>
      <xdr:rowOff>152400</xdr:rowOff>
    </xdr:to>
    <xdr:pic>
      <xdr:nvPicPr>
        <xdr:cNvPr id="3193841" name="Picture 76">
          <a:extLst>
            <a:ext uri="{FF2B5EF4-FFF2-40B4-BE49-F238E27FC236}">
              <a16:creationId xmlns:a16="http://schemas.microsoft.com/office/drawing/2014/main" id="{B1C2F8B3-4030-F66B-21D1-28F3AA8DE76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00675" y="3457575"/>
          <a:ext cx="762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152400</xdr:colOff>
      <xdr:row>21</xdr:row>
      <xdr:rowOff>19050</xdr:rowOff>
    </xdr:from>
    <xdr:to>
      <xdr:col>8</xdr:col>
      <xdr:colOff>238125</xdr:colOff>
      <xdr:row>21</xdr:row>
      <xdr:rowOff>152400</xdr:rowOff>
    </xdr:to>
    <xdr:pic>
      <xdr:nvPicPr>
        <xdr:cNvPr id="3193842" name="Picture 77">
          <a:extLst>
            <a:ext uri="{FF2B5EF4-FFF2-40B4-BE49-F238E27FC236}">
              <a16:creationId xmlns:a16="http://schemas.microsoft.com/office/drawing/2014/main" id="{B43E351A-B565-617D-060D-7D8C5BB1F22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295900" y="3457575"/>
          <a:ext cx="85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552450</xdr:colOff>
      <xdr:row>21</xdr:row>
      <xdr:rowOff>19050</xdr:rowOff>
    </xdr:from>
    <xdr:to>
      <xdr:col>8</xdr:col>
      <xdr:colOff>28575</xdr:colOff>
      <xdr:row>21</xdr:row>
      <xdr:rowOff>152400</xdr:rowOff>
    </xdr:to>
    <xdr:pic>
      <xdr:nvPicPr>
        <xdr:cNvPr id="3193843" name="Picture 80">
          <a:extLst>
            <a:ext uri="{FF2B5EF4-FFF2-40B4-BE49-F238E27FC236}">
              <a16:creationId xmlns:a16="http://schemas.microsoft.com/office/drawing/2014/main" id="{6F9D2B36-FD96-27E2-8FB0-3F784275347F}"/>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086350" y="3457575"/>
          <a:ext cx="85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47625</xdr:colOff>
      <xdr:row>21</xdr:row>
      <xdr:rowOff>19050</xdr:rowOff>
    </xdr:from>
    <xdr:to>
      <xdr:col>8</xdr:col>
      <xdr:colOff>133350</xdr:colOff>
      <xdr:row>21</xdr:row>
      <xdr:rowOff>152400</xdr:rowOff>
    </xdr:to>
    <xdr:pic>
      <xdr:nvPicPr>
        <xdr:cNvPr id="3193844" name="Picture 82">
          <a:extLst>
            <a:ext uri="{FF2B5EF4-FFF2-40B4-BE49-F238E27FC236}">
              <a16:creationId xmlns:a16="http://schemas.microsoft.com/office/drawing/2014/main" id="{EB3727D6-4D6B-3586-F481-C12855BB77A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191125" y="3457575"/>
          <a:ext cx="85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504825</xdr:colOff>
      <xdr:row>21</xdr:row>
      <xdr:rowOff>28575</xdr:rowOff>
    </xdr:from>
    <xdr:to>
      <xdr:col>8</xdr:col>
      <xdr:colOff>381000</xdr:colOff>
      <xdr:row>21</xdr:row>
      <xdr:rowOff>28575</xdr:rowOff>
    </xdr:to>
    <xdr:sp macro="" textlink="">
      <xdr:nvSpPr>
        <xdr:cNvPr id="3193845" name="Line 84">
          <a:extLst>
            <a:ext uri="{FF2B5EF4-FFF2-40B4-BE49-F238E27FC236}">
              <a16:creationId xmlns:a16="http://schemas.microsoft.com/office/drawing/2014/main" id="{D399E882-EBAA-C8AB-373D-8488DC78AA17}"/>
            </a:ext>
          </a:extLst>
        </xdr:cNvPr>
        <xdr:cNvSpPr>
          <a:spLocks noChangeShapeType="1"/>
        </xdr:cNvSpPr>
      </xdr:nvSpPr>
      <xdr:spPr bwMode="auto">
        <a:xfrm>
          <a:off x="5038725" y="3467100"/>
          <a:ext cx="48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21</xdr:row>
      <xdr:rowOff>19050</xdr:rowOff>
    </xdr:from>
    <xdr:to>
      <xdr:col>6</xdr:col>
      <xdr:colOff>266700</xdr:colOff>
      <xdr:row>21</xdr:row>
      <xdr:rowOff>152400</xdr:rowOff>
    </xdr:to>
    <xdr:pic>
      <xdr:nvPicPr>
        <xdr:cNvPr id="3193846" name="Picture 77">
          <a:extLst>
            <a:ext uri="{FF2B5EF4-FFF2-40B4-BE49-F238E27FC236}">
              <a16:creationId xmlns:a16="http://schemas.microsoft.com/office/drawing/2014/main" id="{6EFAD10F-68EC-0359-6110-CE0D03FE6966}"/>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114800" y="3457575"/>
          <a:ext cx="762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485775</xdr:colOff>
      <xdr:row>21</xdr:row>
      <xdr:rowOff>19050</xdr:rowOff>
    </xdr:from>
    <xdr:to>
      <xdr:col>5</xdr:col>
      <xdr:colOff>561975</xdr:colOff>
      <xdr:row>21</xdr:row>
      <xdr:rowOff>152400</xdr:rowOff>
    </xdr:to>
    <xdr:pic>
      <xdr:nvPicPr>
        <xdr:cNvPr id="3193847" name="Picture 78">
          <a:extLst>
            <a:ext uri="{FF2B5EF4-FFF2-40B4-BE49-F238E27FC236}">
              <a16:creationId xmlns:a16="http://schemas.microsoft.com/office/drawing/2014/main" id="{F71B43EF-F3DB-268C-4E3E-04301C93AED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00475" y="3457575"/>
          <a:ext cx="762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590550</xdr:colOff>
      <xdr:row>21</xdr:row>
      <xdr:rowOff>19050</xdr:rowOff>
    </xdr:from>
    <xdr:to>
      <xdr:col>6</xdr:col>
      <xdr:colOff>57150</xdr:colOff>
      <xdr:row>21</xdr:row>
      <xdr:rowOff>152400</xdr:rowOff>
    </xdr:to>
    <xdr:pic>
      <xdr:nvPicPr>
        <xdr:cNvPr id="3193848" name="Picture 80">
          <a:extLst>
            <a:ext uri="{FF2B5EF4-FFF2-40B4-BE49-F238E27FC236}">
              <a16:creationId xmlns:a16="http://schemas.microsoft.com/office/drawing/2014/main" id="{34DE6757-C639-E991-FD44-5AE2A370BC8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05250" y="3457575"/>
          <a:ext cx="762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85725</xdr:colOff>
      <xdr:row>21</xdr:row>
      <xdr:rowOff>19050</xdr:rowOff>
    </xdr:from>
    <xdr:to>
      <xdr:col>6</xdr:col>
      <xdr:colOff>161925</xdr:colOff>
      <xdr:row>21</xdr:row>
      <xdr:rowOff>152400</xdr:rowOff>
    </xdr:to>
    <xdr:pic>
      <xdr:nvPicPr>
        <xdr:cNvPr id="3193849" name="Picture 82">
          <a:extLst>
            <a:ext uri="{FF2B5EF4-FFF2-40B4-BE49-F238E27FC236}">
              <a16:creationId xmlns:a16="http://schemas.microsoft.com/office/drawing/2014/main" id="{3321EA8C-B2C5-7306-C939-2922C6F8D61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010025" y="3457575"/>
          <a:ext cx="762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428625</xdr:colOff>
      <xdr:row>21</xdr:row>
      <xdr:rowOff>28575</xdr:rowOff>
    </xdr:from>
    <xdr:to>
      <xdr:col>6</xdr:col>
      <xdr:colOff>304800</xdr:colOff>
      <xdr:row>21</xdr:row>
      <xdr:rowOff>28575</xdr:rowOff>
    </xdr:to>
    <xdr:sp macro="" textlink="">
      <xdr:nvSpPr>
        <xdr:cNvPr id="3193850" name="Line 84">
          <a:extLst>
            <a:ext uri="{FF2B5EF4-FFF2-40B4-BE49-F238E27FC236}">
              <a16:creationId xmlns:a16="http://schemas.microsoft.com/office/drawing/2014/main" id="{63A0B42D-54E2-4A71-0ECC-29FE27C1CAC8}"/>
            </a:ext>
          </a:extLst>
        </xdr:cNvPr>
        <xdr:cNvSpPr>
          <a:spLocks noChangeShapeType="1"/>
        </xdr:cNvSpPr>
      </xdr:nvSpPr>
      <xdr:spPr bwMode="auto">
        <a:xfrm>
          <a:off x="3743325" y="3467100"/>
          <a:ext cx="48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123825</xdr:colOff>
      <xdr:row>17</xdr:row>
      <xdr:rowOff>133350</xdr:rowOff>
    </xdr:from>
    <xdr:to>
      <xdr:col>7</xdr:col>
      <xdr:colOff>409575</xdr:colOff>
      <xdr:row>19</xdr:row>
      <xdr:rowOff>57150</xdr:rowOff>
    </xdr:to>
    <xdr:sp macro="" textlink="">
      <xdr:nvSpPr>
        <xdr:cNvPr id="54" name="Text Box 87">
          <a:extLst>
            <a:ext uri="{FF2B5EF4-FFF2-40B4-BE49-F238E27FC236}">
              <a16:creationId xmlns:a16="http://schemas.microsoft.com/office/drawing/2014/main" id="{64A8BA23-4358-29BC-4948-5F2E74FDF2DF}"/>
            </a:ext>
          </a:extLst>
        </xdr:cNvPr>
        <xdr:cNvSpPr txBox="1">
          <a:spLocks noChangeArrowheads="1"/>
        </xdr:cNvSpPr>
      </xdr:nvSpPr>
      <xdr:spPr bwMode="auto">
        <a:xfrm>
          <a:off x="4657725" y="2924175"/>
          <a:ext cx="28575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+P</a:t>
          </a:r>
          <a:endParaRPr lang="en-US" sz="800" b="0" i="0" u="none" strike="noStrike" baseline="0">
            <a:solidFill>
              <a:srgbClr val="0000FF"/>
            </a:solidFill>
            <a:latin typeface="Arial"/>
            <a:cs typeface="Arial"/>
          </a:endParaRPr>
        </a:p>
      </xdr:txBody>
    </xdr:sp>
    <xdr:clientData/>
  </xdr:twoCellAnchor>
  <xdr:twoCellAnchor>
    <xdr:from>
      <xdr:col>6</xdr:col>
      <xdr:colOff>476250</xdr:colOff>
      <xdr:row>18</xdr:row>
      <xdr:rowOff>123825</xdr:rowOff>
    </xdr:from>
    <xdr:to>
      <xdr:col>7</xdr:col>
      <xdr:colOff>352425</xdr:colOff>
      <xdr:row>21</xdr:row>
      <xdr:rowOff>95250</xdr:rowOff>
    </xdr:to>
    <xdr:sp macro="" textlink="">
      <xdr:nvSpPr>
        <xdr:cNvPr id="3193852" name="Arc 65">
          <a:extLst>
            <a:ext uri="{FF2B5EF4-FFF2-40B4-BE49-F238E27FC236}">
              <a16:creationId xmlns:a16="http://schemas.microsoft.com/office/drawing/2014/main" id="{6E3C725E-E878-C279-1168-8D9EED8AE5C4}"/>
            </a:ext>
          </a:extLst>
        </xdr:cNvPr>
        <xdr:cNvSpPr>
          <a:spLocks/>
        </xdr:cNvSpPr>
      </xdr:nvSpPr>
      <xdr:spPr bwMode="auto">
        <a:xfrm rot="-2700000">
          <a:off x="4400550" y="3076575"/>
          <a:ext cx="485775" cy="45720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7</xdr:col>
      <xdr:colOff>428625</xdr:colOff>
      <xdr:row>19</xdr:row>
      <xdr:rowOff>38100</xdr:rowOff>
    </xdr:from>
    <xdr:to>
      <xdr:col>8</xdr:col>
      <xdr:colOff>85725</xdr:colOff>
      <xdr:row>20</xdr:row>
      <xdr:rowOff>123825</xdr:rowOff>
    </xdr:to>
    <xdr:sp macro="" textlink="">
      <xdr:nvSpPr>
        <xdr:cNvPr id="56" name="Text Box 88">
          <a:extLst>
            <a:ext uri="{FF2B5EF4-FFF2-40B4-BE49-F238E27FC236}">
              <a16:creationId xmlns:a16="http://schemas.microsoft.com/office/drawing/2014/main" id="{B3B42989-756B-914A-1840-728ACBAB3A8E}"/>
            </a:ext>
          </a:extLst>
        </xdr:cNvPr>
        <xdr:cNvSpPr txBox="1">
          <a:spLocks noChangeArrowheads="1"/>
        </xdr:cNvSpPr>
      </xdr:nvSpPr>
      <xdr:spPr bwMode="auto">
        <a:xfrm>
          <a:off x="4962525" y="3152775"/>
          <a:ext cx="2667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+M</a:t>
          </a:r>
          <a:endParaRPr lang="en-US" sz="800" b="0" i="0" u="none" strike="noStrike" baseline="0">
            <a:solidFill>
              <a:srgbClr val="0000FF"/>
            </a:solidFill>
            <a:latin typeface="Arial"/>
            <a:cs typeface="Arial"/>
          </a:endParaRPr>
        </a:p>
      </xdr:txBody>
    </xdr:sp>
    <xdr:clientData/>
  </xdr:twoCellAnchor>
  <xdr:twoCellAnchor>
    <xdr:from>
      <xdr:col>7</xdr:col>
      <xdr:colOff>504825</xdr:colOff>
      <xdr:row>16</xdr:row>
      <xdr:rowOff>47625</xdr:rowOff>
    </xdr:from>
    <xdr:to>
      <xdr:col>9</xdr:col>
      <xdr:colOff>314325</xdr:colOff>
      <xdr:row>16</xdr:row>
      <xdr:rowOff>47625</xdr:rowOff>
    </xdr:to>
    <xdr:cxnSp macro="">
      <xdr:nvCxnSpPr>
        <xdr:cNvPr id="3193854" name="Straight Connector 2761727">
          <a:extLst>
            <a:ext uri="{FF2B5EF4-FFF2-40B4-BE49-F238E27FC236}">
              <a16:creationId xmlns:a16="http://schemas.microsoft.com/office/drawing/2014/main" id="{BD2D2DED-E5D2-15CC-933F-0BB349CC4AE3}"/>
            </a:ext>
          </a:extLst>
        </xdr:cNvPr>
        <xdr:cNvCxnSpPr>
          <a:cxnSpLocks noChangeShapeType="1"/>
        </xdr:cNvCxnSpPr>
      </xdr:nvCxnSpPr>
      <xdr:spPr bwMode="auto">
        <a:xfrm>
          <a:off x="5038725" y="2676525"/>
          <a:ext cx="1028700"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495300</xdr:colOff>
      <xdr:row>6</xdr:row>
      <xdr:rowOff>123825</xdr:rowOff>
    </xdr:from>
    <xdr:to>
      <xdr:col>9</xdr:col>
      <xdr:colOff>295275</xdr:colOff>
      <xdr:row>6</xdr:row>
      <xdr:rowOff>123825</xdr:rowOff>
    </xdr:to>
    <xdr:cxnSp macro="">
      <xdr:nvCxnSpPr>
        <xdr:cNvPr id="3193855" name="Straight Connector 57">
          <a:extLst>
            <a:ext uri="{FF2B5EF4-FFF2-40B4-BE49-F238E27FC236}">
              <a16:creationId xmlns:a16="http://schemas.microsoft.com/office/drawing/2014/main" id="{8BFD327B-CF71-3D56-83E8-0529AE7B130A}"/>
            </a:ext>
          </a:extLst>
        </xdr:cNvPr>
        <xdr:cNvCxnSpPr>
          <a:cxnSpLocks noChangeShapeType="1"/>
        </xdr:cNvCxnSpPr>
      </xdr:nvCxnSpPr>
      <xdr:spPr bwMode="auto">
        <a:xfrm>
          <a:off x="5029200" y="1133475"/>
          <a:ext cx="101917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133350</xdr:colOff>
      <xdr:row>6</xdr:row>
      <xdr:rowOff>123825</xdr:rowOff>
    </xdr:from>
    <xdr:to>
      <xdr:col>9</xdr:col>
      <xdr:colOff>133350</xdr:colOff>
      <xdr:row>16</xdr:row>
      <xdr:rowOff>47625</xdr:rowOff>
    </xdr:to>
    <xdr:cxnSp macro="">
      <xdr:nvCxnSpPr>
        <xdr:cNvPr id="3297280" name="Straight Connector 2761730">
          <a:extLst>
            <a:ext uri="{FF2B5EF4-FFF2-40B4-BE49-F238E27FC236}">
              <a16:creationId xmlns:a16="http://schemas.microsoft.com/office/drawing/2014/main" id="{74618B69-B76D-900D-30F6-7EB83A265A28}"/>
            </a:ext>
          </a:extLst>
        </xdr:cNvPr>
        <xdr:cNvCxnSpPr>
          <a:cxnSpLocks noChangeShapeType="1"/>
        </xdr:cNvCxnSpPr>
      </xdr:nvCxnSpPr>
      <xdr:spPr bwMode="auto">
        <a:xfrm>
          <a:off x="5886450" y="1133475"/>
          <a:ext cx="0" cy="154305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171450</xdr:colOff>
      <xdr:row>13</xdr:row>
      <xdr:rowOff>104775</xdr:rowOff>
    </xdr:from>
    <xdr:to>
      <xdr:col>5</xdr:col>
      <xdr:colOff>390525</xdr:colOff>
      <xdr:row>14</xdr:row>
      <xdr:rowOff>152400</xdr:rowOff>
    </xdr:to>
    <xdr:sp macro="" textlink="">
      <xdr:nvSpPr>
        <xdr:cNvPr id="60" name="Text Box 92">
          <a:extLst>
            <a:ext uri="{FF2B5EF4-FFF2-40B4-BE49-F238E27FC236}">
              <a16:creationId xmlns:a16="http://schemas.microsoft.com/office/drawing/2014/main" id="{BD129CA8-07CD-86DD-28C9-31D16A79E4B5}"/>
            </a:ext>
          </a:extLst>
        </xdr:cNvPr>
        <xdr:cNvSpPr txBox="1">
          <a:spLocks noChangeArrowheads="1"/>
        </xdr:cNvSpPr>
      </xdr:nvSpPr>
      <xdr:spPr bwMode="auto">
        <a:xfrm>
          <a:off x="3486150" y="2247900"/>
          <a:ext cx="2190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E</a:t>
          </a:r>
          <a:r>
            <a:rPr lang="en-US" sz="800" b="0" i="0" u="none" strike="noStrike" baseline="0">
              <a:solidFill>
                <a:srgbClr val="0000FF"/>
              </a:solidFill>
              <a:latin typeface="Arial"/>
              <a:cs typeface="Arial"/>
            </a:rPr>
            <a:t>f</a:t>
          </a:r>
        </a:p>
      </xdr:txBody>
    </xdr:sp>
    <xdr:clientData/>
  </xdr:twoCellAnchor>
  <xdr:twoCellAnchor>
    <xdr:from>
      <xdr:col>4</xdr:col>
      <xdr:colOff>457200</xdr:colOff>
      <xdr:row>8</xdr:row>
      <xdr:rowOff>38100</xdr:rowOff>
    </xdr:from>
    <xdr:to>
      <xdr:col>6</xdr:col>
      <xdr:colOff>352425</xdr:colOff>
      <xdr:row>8</xdr:row>
      <xdr:rowOff>38100</xdr:rowOff>
    </xdr:to>
    <xdr:cxnSp macro="">
      <xdr:nvCxnSpPr>
        <xdr:cNvPr id="3297282" name="Straight Connector 2761732">
          <a:extLst>
            <a:ext uri="{FF2B5EF4-FFF2-40B4-BE49-F238E27FC236}">
              <a16:creationId xmlns:a16="http://schemas.microsoft.com/office/drawing/2014/main" id="{46C30C71-DA1C-99B4-8FC9-DAF07FA9D748}"/>
            </a:ext>
          </a:extLst>
        </xdr:cNvPr>
        <xdr:cNvCxnSpPr>
          <a:cxnSpLocks noChangeShapeType="1"/>
        </xdr:cNvCxnSpPr>
      </xdr:nvCxnSpPr>
      <xdr:spPr bwMode="auto">
        <a:xfrm rot="20280000" flipH="1">
          <a:off x="3162300" y="1371600"/>
          <a:ext cx="111442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514350</xdr:colOff>
      <xdr:row>17</xdr:row>
      <xdr:rowOff>142875</xdr:rowOff>
    </xdr:from>
    <xdr:to>
      <xdr:col>7</xdr:col>
      <xdr:colOff>409575</xdr:colOff>
      <xdr:row>17</xdr:row>
      <xdr:rowOff>142875</xdr:rowOff>
    </xdr:to>
    <xdr:cxnSp macro="">
      <xdr:nvCxnSpPr>
        <xdr:cNvPr id="3297283" name="Straight Connector 63">
          <a:extLst>
            <a:ext uri="{FF2B5EF4-FFF2-40B4-BE49-F238E27FC236}">
              <a16:creationId xmlns:a16="http://schemas.microsoft.com/office/drawing/2014/main" id="{0A366D8E-8665-E961-C41F-4CA3BC6D4C4E}"/>
            </a:ext>
          </a:extLst>
        </xdr:cNvPr>
        <xdr:cNvCxnSpPr>
          <a:cxnSpLocks noChangeShapeType="1"/>
        </xdr:cNvCxnSpPr>
      </xdr:nvCxnSpPr>
      <xdr:spPr bwMode="auto">
        <a:xfrm rot="20280000" flipH="1">
          <a:off x="3829050" y="2933700"/>
          <a:ext cx="111442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304800</xdr:colOff>
      <xdr:row>9</xdr:row>
      <xdr:rowOff>85725</xdr:rowOff>
    </xdr:from>
    <xdr:to>
      <xdr:col>8</xdr:col>
      <xdr:colOff>561975</xdr:colOff>
      <xdr:row>9</xdr:row>
      <xdr:rowOff>85725</xdr:rowOff>
    </xdr:to>
    <xdr:cxnSp macro="">
      <xdr:nvCxnSpPr>
        <xdr:cNvPr id="3297284" name="Straight Connector 64">
          <a:extLst>
            <a:ext uri="{FF2B5EF4-FFF2-40B4-BE49-F238E27FC236}">
              <a16:creationId xmlns:a16="http://schemas.microsoft.com/office/drawing/2014/main" id="{02A8072A-1996-69D9-A82A-54072A0DDB3B}"/>
            </a:ext>
          </a:extLst>
        </xdr:cNvPr>
        <xdr:cNvCxnSpPr>
          <a:cxnSpLocks/>
        </xdr:cNvCxnSpPr>
      </xdr:nvCxnSpPr>
      <xdr:spPr bwMode="auto">
        <a:xfrm flipH="1">
          <a:off x="5448300" y="1581150"/>
          <a:ext cx="25717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304800</xdr:colOff>
      <xdr:row>13</xdr:row>
      <xdr:rowOff>95250</xdr:rowOff>
    </xdr:from>
    <xdr:to>
      <xdr:col>8</xdr:col>
      <xdr:colOff>571500</xdr:colOff>
      <xdr:row>13</xdr:row>
      <xdr:rowOff>95250</xdr:rowOff>
    </xdr:to>
    <xdr:cxnSp macro="">
      <xdr:nvCxnSpPr>
        <xdr:cNvPr id="3297285" name="Straight Connector 66">
          <a:extLst>
            <a:ext uri="{FF2B5EF4-FFF2-40B4-BE49-F238E27FC236}">
              <a16:creationId xmlns:a16="http://schemas.microsoft.com/office/drawing/2014/main" id="{53E01EE0-196D-C37D-AAE6-9FE1813D3921}"/>
            </a:ext>
          </a:extLst>
        </xdr:cNvPr>
        <xdr:cNvCxnSpPr>
          <a:cxnSpLocks/>
        </xdr:cNvCxnSpPr>
      </xdr:nvCxnSpPr>
      <xdr:spPr bwMode="auto">
        <a:xfrm flipH="1">
          <a:off x="5448300" y="2238375"/>
          <a:ext cx="266700"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28575</xdr:colOff>
      <xdr:row>9</xdr:row>
      <xdr:rowOff>28575</xdr:rowOff>
    </xdr:from>
    <xdr:to>
      <xdr:col>6</xdr:col>
      <xdr:colOff>66675</xdr:colOff>
      <xdr:row>18</xdr:row>
      <xdr:rowOff>142875</xdr:rowOff>
    </xdr:to>
    <xdr:cxnSp macro="">
      <xdr:nvCxnSpPr>
        <xdr:cNvPr id="3297286" name="Straight Connector 2761734">
          <a:extLst>
            <a:ext uri="{FF2B5EF4-FFF2-40B4-BE49-F238E27FC236}">
              <a16:creationId xmlns:a16="http://schemas.microsoft.com/office/drawing/2014/main" id="{DF6E1582-F98A-47B8-5C9A-9EA6970EF83C}"/>
            </a:ext>
          </a:extLst>
        </xdr:cNvPr>
        <xdr:cNvCxnSpPr>
          <a:cxnSpLocks noChangeShapeType="1"/>
        </xdr:cNvCxnSpPr>
      </xdr:nvCxnSpPr>
      <xdr:spPr bwMode="auto">
        <a:xfrm>
          <a:off x="3343275" y="1524000"/>
          <a:ext cx="647700" cy="157162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438150</xdr:colOff>
      <xdr:row>6</xdr:row>
      <xdr:rowOff>123825</xdr:rowOff>
    </xdr:from>
    <xdr:to>
      <xdr:col>8</xdr:col>
      <xdr:colOff>438150</xdr:colOff>
      <xdr:row>9</xdr:row>
      <xdr:rowOff>85725</xdr:rowOff>
    </xdr:to>
    <xdr:cxnSp macro="">
      <xdr:nvCxnSpPr>
        <xdr:cNvPr id="3297287" name="Straight Connector 2761736">
          <a:extLst>
            <a:ext uri="{FF2B5EF4-FFF2-40B4-BE49-F238E27FC236}">
              <a16:creationId xmlns:a16="http://schemas.microsoft.com/office/drawing/2014/main" id="{252EFE04-484A-34D9-E281-83BAEEB351F2}"/>
            </a:ext>
          </a:extLst>
        </xdr:cNvPr>
        <xdr:cNvCxnSpPr>
          <a:cxnSpLocks noChangeShapeType="1"/>
        </xdr:cNvCxnSpPr>
      </xdr:nvCxnSpPr>
      <xdr:spPr bwMode="auto">
        <a:xfrm>
          <a:off x="5581650" y="1133475"/>
          <a:ext cx="0" cy="44767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447675</xdr:colOff>
      <xdr:row>13</xdr:row>
      <xdr:rowOff>95250</xdr:rowOff>
    </xdr:from>
    <xdr:to>
      <xdr:col>8</xdr:col>
      <xdr:colOff>447675</xdr:colOff>
      <xdr:row>16</xdr:row>
      <xdr:rowOff>57150</xdr:rowOff>
    </xdr:to>
    <xdr:cxnSp macro="">
      <xdr:nvCxnSpPr>
        <xdr:cNvPr id="3297288" name="Straight Connector 71">
          <a:extLst>
            <a:ext uri="{FF2B5EF4-FFF2-40B4-BE49-F238E27FC236}">
              <a16:creationId xmlns:a16="http://schemas.microsoft.com/office/drawing/2014/main" id="{0C4D99D0-F336-C652-577D-5B9380973BDD}"/>
            </a:ext>
          </a:extLst>
        </xdr:cNvPr>
        <xdr:cNvCxnSpPr>
          <a:cxnSpLocks noChangeShapeType="1"/>
        </xdr:cNvCxnSpPr>
      </xdr:nvCxnSpPr>
      <xdr:spPr bwMode="auto">
        <a:xfrm>
          <a:off x="5591175" y="2238375"/>
          <a:ext cx="0" cy="44767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447675</xdr:colOff>
      <xdr:row>9</xdr:row>
      <xdr:rowOff>85725</xdr:rowOff>
    </xdr:from>
    <xdr:to>
      <xdr:col>8</xdr:col>
      <xdr:colOff>447675</xdr:colOff>
      <xdr:row>13</xdr:row>
      <xdr:rowOff>85725</xdr:rowOff>
    </xdr:to>
    <xdr:cxnSp macro="">
      <xdr:nvCxnSpPr>
        <xdr:cNvPr id="3297289" name="Straight Connector 2761738">
          <a:extLst>
            <a:ext uri="{FF2B5EF4-FFF2-40B4-BE49-F238E27FC236}">
              <a16:creationId xmlns:a16="http://schemas.microsoft.com/office/drawing/2014/main" id="{182924F4-DB5F-7A6D-F6B5-C056C79004EF}"/>
            </a:ext>
          </a:extLst>
        </xdr:cNvPr>
        <xdr:cNvCxnSpPr>
          <a:cxnSpLocks noChangeShapeType="1"/>
        </xdr:cNvCxnSpPr>
      </xdr:nvCxnSpPr>
      <xdr:spPr bwMode="auto">
        <a:xfrm>
          <a:off x="5591175" y="1581150"/>
          <a:ext cx="0" cy="64770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152400</xdr:colOff>
      <xdr:row>11</xdr:row>
      <xdr:rowOff>0</xdr:rowOff>
    </xdr:from>
    <xdr:to>
      <xdr:col>9</xdr:col>
      <xdr:colOff>371475</xdr:colOff>
      <xdr:row>12</xdr:row>
      <xdr:rowOff>38100</xdr:rowOff>
    </xdr:to>
    <xdr:sp macro="" textlink="">
      <xdr:nvSpPr>
        <xdr:cNvPr id="69" name="Text Box 92">
          <a:extLst>
            <a:ext uri="{FF2B5EF4-FFF2-40B4-BE49-F238E27FC236}">
              <a16:creationId xmlns:a16="http://schemas.microsoft.com/office/drawing/2014/main" id="{6B166D77-D43A-8D95-7B96-727F837B479B}"/>
            </a:ext>
          </a:extLst>
        </xdr:cNvPr>
        <xdr:cNvSpPr txBox="1">
          <a:spLocks noChangeArrowheads="1"/>
        </xdr:cNvSpPr>
      </xdr:nvSpPr>
      <xdr:spPr bwMode="auto">
        <a:xfrm>
          <a:off x="5905500" y="1819275"/>
          <a:ext cx="21907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D</a:t>
          </a:r>
          <a:r>
            <a:rPr lang="en-US" sz="800" b="0" i="0" u="none" strike="noStrike" baseline="0">
              <a:solidFill>
                <a:srgbClr val="0000FF"/>
              </a:solidFill>
              <a:latin typeface="Arial"/>
              <a:cs typeface="Arial"/>
            </a:rPr>
            <a:t>f</a:t>
          </a:r>
        </a:p>
      </xdr:txBody>
    </xdr:sp>
    <xdr:clientData/>
  </xdr:twoCellAnchor>
  <xdr:twoCellAnchor>
    <xdr:from>
      <xdr:col>8</xdr:col>
      <xdr:colOff>457200</xdr:colOff>
      <xdr:row>11</xdr:row>
      <xdr:rowOff>0</xdr:rowOff>
    </xdr:from>
    <xdr:to>
      <xdr:col>9</xdr:col>
      <xdr:colOff>66675</xdr:colOff>
      <xdr:row>12</xdr:row>
      <xdr:rowOff>38100</xdr:rowOff>
    </xdr:to>
    <xdr:sp macro="" textlink="">
      <xdr:nvSpPr>
        <xdr:cNvPr id="70" name="Text Box 92">
          <a:extLst>
            <a:ext uri="{FF2B5EF4-FFF2-40B4-BE49-F238E27FC236}">
              <a16:creationId xmlns:a16="http://schemas.microsoft.com/office/drawing/2014/main" id="{0095EF59-30C7-76B9-BD96-CCA23B603BCA}"/>
            </a:ext>
          </a:extLst>
        </xdr:cNvPr>
        <xdr:cNvSpPr txBox="1">
          <a:spLocks noChangeArrowheads="1"/>
        </xdr:cNvSpPr>
      </xdr:nvSpPr>
      <xdr:spPr bwMode="auto">
        <a:xfrm>
          <a:off x="5600700" y="1819275"/>
          <a:ext cx="21907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C</a:t>
          </a:r>
          <a:r>
            <a:rPr lang="en-US" sz="800" b="0" i="0" u="none" strike="noStrike" baseline="0">
              <a:solidFill>
                <a:srgbClr val="0000FF"/>
              </a:solidFill>
              <a:latin typeface="Arial"/>
              <a:cs typeface="Arial"/>
            </a:rPr>
            <a:t>f</a:t>
          </a:r>
        </a:p>
      </xdr:txBody>
    </xdr:sp>
    <xdr:clientData/>
  </xdr:twoCellAnchor>
  <xdr:twoCellAnchor>
    <xdr:from>
      <xdr:col>8</xdr:col>
      <xdr:colOff>466725</xdr:colOff>
      <xdr:row>7</xdr:row>
      <xdr:rowOff>85725</xdr:rowOff>
    </xdr:from>
    <xdr:to>
      <xdr:col>9</xdr:col>
      <xdr:colOff>76200</xdr:colOff>
      <xdr:row>8</xdr:row>
      <xdr:rowOff>133350</xdr:rowOff>
    </xdr:to>
    <xdr:sp macro="" textlink="">
      <xdr:nvSpPr>
        <xdr:cNvPr id="71" name="Text Box 92">
          <a:extLst>
            <a:ext uri="{FF2B5EF4-FFF2-40B4-BE49-F238E27FC236}">
              <a16:creationId xmlns:a16="http://schemas.microsoft.com/office/drawing/2014/main" id="{667E702E-42FC-EFA3-37A2-27D719C16552}"/>
            </a:ext>
          </a:extLst>
        </xdr:cNvPr>
        <xdr:cNvSpPr txBox="1">
          <a:spLocks noChangeArrowheads="1"/>
        </xdr:cNvSpPr>
      </xdr:nvSpPr>
      <xdr:spPr bwMode="auto">
        <a:xfrm>
          <a:off x="5610225" y="1257300"/>
          <a:ext cx="2190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B</a:t>
          </a:r>
          <a:r>
            <a:rPr lang="en-US" sz="800" b="0" i="0" u="none" strike="noStrike" baseline="0">
              <a:solidFill>
                <a:srgbClr val="0000FF"/>
              </a:solidFill>
              <a:latin typeface="Arial"/>
              <a:cs typeface="Arial"/>
            </a:rPr>
            <a:t>f</a:t>
          </a:r>
        </a:p>
      </xdr:txBody>
    </xdr:sp>
    <xdr:clientData/>
  </xdr:twoCellAnchor>
  <xdr:twoCellAnchor>
    <xdr:from>
      <xdr:col>8</xdr:col>
      <xdr:colOff>466725</xdr:colOff>
      <xdr:row>14</xdr:row>
      <xdr:rowOff>47625</xdr:rowOff>
    </xdr:from>
    <xdr:to>
      <xdr:col>9</xdr:col>
      <xdr:colOff>66675</xdr:colOff>
      <xdr:row>15</xdr:row>
      <xdr:rowOff>95250</xdr:rowOff>
    </xdr:to>
    <xdr:sp macro="" textlink="">
      <xdr:nvSpPr>
        <xdr:cNvPr id="72" name="Text Box 92">
          <a:extLst>
            <a:ext uri="{FF2B5EF4-FFF2-40B4-BE49-F238E27FC236}">
              <a16:creationId xmlns:a16="http://schemas.microsoft.com/office/drawing/2014/main" id="{6D241D72-4846-E8D6-9826-F5EAD38094FB}"/>
            </a:ext>
          </a:extLst>
        </xdr:cNvPr>
        <xdr:cNvSpPr txBox="1">
          <a:spLocks noChangeArrowheads="1"/>
        </xdr:cNvSpPr>
      </xdr:nvSpPr>
      <xdr:spPr bwMode="auto">
        <a:xfrm>
          <a:off x="5610225" y="2352675"/>
          <a:ext cx="2095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B</a:t>
          </a:r>
          <a:r>
            <a:rPr lang="en-US" sz="800" b="0" i="0" u="none" strike="noStrike" baseline="0">
              <a:solidFill>
                <a:srgbClr val="0000FF"/>
              </a:solidFill>
              <a:latin typeface="Arial"/>
              <a:cs typeface="Arial"/>
            </a:rPr>
            <a:t>f</a:t>
          </a:r>
        </a:p>
      </xdr:txBody>
    </xdr:sp>
    <xdr:clientData/>
  </xdr:twoCellAnchor>
  <xdr:twoCellAnchor>
    <xdr:from>
      <xdr:col>7</xdr:col>
      <xdr:colOff>333375</xdr:colOff>
      <xdr:row>9</xdr:row>
      <xdr:rowOff>28575</xdr:rowOff>
    </xdr:from>
    <xdr:to>
      <xdr:col>8</xdr:col>
      <xdr:colOff>66675</xdr:colOff>
      <xdr:row>9</xdr:row>
      <xdr:rowOff>28575</xdr:rowOff>
    </xdr:to>
    <xdr:cxnSp macro="">
      <xdr:nvCxnSpPr>
        <xdr:cNvPr id="3297294" name="Straight Connector 79">
          <a:extLst>
            <a:ext uri="{FF2B5EF4-FFF2-40B4-BE49-F238E27FC236}">
              <a16:creationId xmlns:a16="http://schemas.microsoft.com/office/drawing/2014/main" id="{A7B68612-4FA5-A664-726E-570CAFC4A3AD}"/>
            </a:ext>
          </a:extLst>
        </xdr:cNvPr>
        <xdr:cNvCxnSpPr>
          <a:cxnSpLocks/>
        </xdr:cNvCxnSpPr>
      </xdr:nvCxnSpPr>
      <xdr:spPr bwMode="auto">
        <a:xfrm flipH="1">
          <a:off x="4867275" y="1524000"/>
          <a:ext cx="342900"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342900</xdr:colOff>
      <xdr:row>13</xdr:row>
      <xdr:rowOff>133350</xdr:rowOff>
    </xdr:from>
    <xdr:to>
      <xdr:col>8</xdr:col>
      <xdr:colOff>85725</xdr:colOff>
      <xdr:row>13</xdr:row>
      <xdr:rowOff>133350</xdr:rowOff>
    </xdr:to>
    <xdr:cxnSp macro="">
      <xdr:nvCxnSpPr>
        <xdr:cNvPr id="3297295" name="Straight Connector 80">
          <a:extLst>
            <a:ext uri="{FF2B5EF4-FFF2-40B4-BE49-F238E27FC236}">
              <a16:creationId xmlns:a16="http://schemas.microsoft.com/office/drawing/2014/main" id="{C078CA09-CF12-C775-0D74-B07AE34200EE}"/>
            </a:ext>
          </a:extLst>
        </xdr:cNvPr>
        <xdr:cNvCxnSpPr>
          <a:cxnSpLocks/>
        </xdr:cNvCxnSpPr>
      </xdr:nvCxnSpPr>
      <xdr:spPr bwMode="auto">
        <a:xfrm flipH="1">
          <a:off x="4876800" y="2276475"/>
          <a:ext cx="35242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571500</xdr:colOff>
      <xdr:row>9</xdr:row>
      <xdr:rowOff>28575</xdr:rowOff>
    </xdr:from>
    <xdr:to>
      <xdr:col>7</xdr:col>
      <xdr:colOff>571500</xdr:colOff>
      <xdr:row>13</xdr:row>
      <xdr:rowOff>142875</xdr:rowOff>
    </xdr:to>
    <xdr:cxnSp macro="">
      <xdr:nvCxnSpPr>
        <xdr:cNvPr id="3297296" name="Straight Connector 2761740">
          <a:extLst>
            <a:ext uri="{FF2B5EF4-FFF2-40B4-BE49-F238E27FC236}">
              <a16:creationId xmlns:a16="http://schemas.microsoft.com/office/drawing/2014/main" id="{F8A85F14-B2CC-F741-DA1E-F47C3EEBA384}"/>
            </a:ext>
          </a:extLst>
        </xdr:cNvPr>
        <xdr:cNvCxnSpPr>
          <a:cxnSpLocks noChangeShapeType="1"/>
        </xdr:cNvCxnSpPr>
      </xdr:nvCxnSpPr>
      <xdr:spPr bwMode="auto">
        <a:xfrm>
          <a:off x="5105400" y="1524000"/>
          <a:ext cx="0" cy="76200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581025</xdr:colOff>
      <xdr:row>10</xdr:row>
      <xdr:rowOff>152400</xdr:rowOff>
    </xdr:from>
    <xdr:to>
      <xdr:col>8</xdr:col>
      <xdr:colOff>190500</xdr:colOff>
      <xdr:row>12</xdr:row>
      <xdr:rowOff>38100</xdr:rowOff>
    </xdr:to>
    <xdr:sp macro="" textlink="">
      <xdr:nvSpPr>
        <xdr:cNvPr id="76" name="Text Box 92">
          <a:extLst>
            <a:ext uri="{FF2B5EF4-FFF2-40B4-BE49-F238E27FC236}">
              <a16:creationId xmlns:a16="http://schemas.microsoft.com/office/drawing/2014/main" id="{47B6A4F0-7C0D-82BC-22AA-1152E72C3DB6}"/>
            </a:ext>
          </a:extLst>
        </xdr:cNvPr>
        <xdr:cNvSpPr txBox="1">
          <a:spLocks noChangeArrowheads="1"/>
        </xdr:cNvSpPr>
      </xdr:nvSpPr>
      <xdr:spPr bwMode="auto">
        <a:xfrm>
          <a:off x="5114925" y="1809750"/>
          <a:ext cx="2190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D</a:t>
          </a:r>
          <a:r>
            <a:rPr lang="en-US" sz="800" b="0" i="0" u="none" strike="noStrike" baseline="0">
              <a:solidFill>
                <a:srgbClr val="0000FF"/>
              </a:solidFill>
              <a:latin typeface="Arial"/>
              <a:cs typeface="Arial"/>
            </a:rPr>
            <a:t>p</a:t>
          </a:r>
        </a:p>
      </xdr:txBody>
    </xdr:sp>
    <xdr:clientData/>
  </xdr:twoCellAnchor>
  <xdr:twoCellAnchor>
    <xdr:from>
      <xdr:col>7</xdr:col>
      <xdr:colOff>514350</xdr:colOff>
      <xdr:row>16</xdr:row>
      <xdr:rowOff>142875</xdr:rowOff>
    </xdr:from>
    <xdr:to>
      <xdr:col>9</xdr:col>
      <xdr:colOff>28575</xdr:colOff>
      <xdr:row>18</xdr:row>
      <xdr:rowOff>47625</xdr:rowOff>
    </xdr:to>
    <xdr:sp macro="" textlink="">
      <xdr:nvSpPr>
        <xdr:cNvPr id="77" name="Text Box 92">
          <a:extLst>
            <a:ext uri="{FF2B5EF4-FFF2-40B4-BE49-F238E27FC236}">
              <a16:creationId xmlns:a16="http://schemas.microsoft.com/office/drawing/2014/main" id="{3033D7B4-EA34-F214-ECFD-536CAC90EC01}"/>
            </a:ext>
          </a:extLst>
        </xdr:cNvPr>
        <xdr:cNvSpPr txBox="1">
          <a:spLocks noChangeArrowheads="1"/>
        </xdr:cNvSpPr>
      </xdr:nvSpPr>
      <xdr:spPr bwMode="auto">
        <a:xfrm>
          <a:off x="5048250" y="2771775"/>
          <a:ext cx="7334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1" i="0" u="sng" strike="noStrike" baseline="0">
              <a:solidFill>
                <a:sysClr val="windowText" lastClr="000000"/>
              </a:solidFill>
              <a:latin typeface="Arial"/>
              <a:cs typeface="Arial"/>
            </a:rPr>
            <a:t>Plan View</a:t>
          </a:r>
        </a:p>
      </xdr:txBody>
    </xdr:sp>
    <xdr:clientData/>
  </xdr:twoCellAnchor>
  <xdr:twoCellAnchor>
    <xdr:from>
      <xdr:col>6</xdr:col>
      <xdr:colOff>209550</xdr:colOff>
      <xdr:row>26</xdr:row>
      <xdr:rowOff>114300</xdr:rowOff>
    </xdr:from>
    <xdr:to>
      <xdr:col>8</xdr:col>
      <xdr:colOff>66675</xdr:colOff>
      <xdr:row>28</xdr:row>
      <xdr:rowOff>28575</xdr:rowOff>
    </xdr:to>
    <xdr:sp macro="" textlink="">
      <xdr:nvSpPr>
        <xdr:cNvPr id="78" name="Text Box 92">
          <a:extLst>
            <a:ext uri="{FF2B5EF4-FFF2-40B4-BE49-F238E27FC236}">
              <a16:creationId xmlns:a16="http://schemas.microsoft.com/office/drawing/2014/main" id="{3DBAC5E9-F840-F9CE-EEB6-CEB16CDBB1F7}"/>
            </a:ext>
          </a:extLst>
        </xdr:cNvPr>
        <xdr:cNvSpPr txBox="1">
          <a:spLocks noChangeArrowheads="1"/>
        </xdr:cNvSpPr>
      </xdr:nvSpPr>
      <xdr:spPr bwMode="auto">
        <a:xfrm>
          <a:off x="4133850" y="4362450"/>
          <a:ext cx="10763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1" i="0" u="sng" strike="noStrike" baseline="0">
              <a:solidFill>
                <a:sysClr val="windowText" lastClr="000000"/>
              </a:solidFill>
              <a:latin typeface="Arial"/>
              <a:cs typeface="Arial"/>
            </a:rPr>
            <a:t>Elevation View</a:t>
          </a:r>
        </a:p>
      </xdr:txBody>
    </xdr:sp>
    <xdr:clientData/>
  </xdr:twoCellAnchor>
  <xdr:twoCellAnchor>
    <xdr:from>
      <xdr:col>6</xdr:col>
      <xdr:colOff>123825</xdr:colOff>
      <xdr:row>9</xdr:row>
      <xdr:rowOff>28575</xdr:rowOff>
    </xdr:from>
    <xdr:to>
      <xdr:col>6</xdr:col>
      <xdr:colOff>504825</xdr:colOff>
      <xdr:row>9</xdr:row>
      <xdr:rowOff>28575</xdr:rowOff>
    </xdr:to>
    <xdr:cxnSp macro="">
      <xdr:nvCxnSpPr>
        <xdr:cNvPr id="3297300" name="Straight Connector 79">
          <a:extLst>
            <a:ext uri="{FF2B5EF4-FFF2-40B4-BE49-F238E27FC236}">
              <a16:creationId xmlns:a16="http://schemas.microsoft.com/office/drawing/2014/main" id="{90C720BF-3BD5-89C1-6D6C-DB1962010F73}"/>
            </a:ext>
          </a:extLst>
        </xdr:cNvPr>
        <xdr:cNvCxnSpPr>
          <a:cxnSpLocks/>
        </xdr:cNvCxnSpPr>
      </xdr:nvCxnSpPr>
      <xdr:spPr bwMode="auto">
        <a:xfrm flipH="1">
          <a:off x="4048125" y="1524000"/>
          <a:ext cx="381000"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123825</xdr:colOff>
      <xdr:row>10</xdr:row>
      <xdr:rowOff>85725</xdr:rowOff>
    </xdr:from>
    <xdr:to>
      <xdr:col>6</xdr:col>
      <xdr:colOff>285750</xdr:colOff>
      <xdr:row>10</xdr:row>
      <xdr:rowOff>85725</xdr:rowOff>
    </xdr:to>
    <xdr:cxnSp macro="">
      <xdr:nvCxnSpPr>
        <xdr:cNvPr id="3297301" name="Straight Connector 80">
          <a:extLst>
            <a:ext uri="{FF2B5EF4-FFF2-40B4-BE49-F238E27FC236}">
              <a16:creationId xmlns:a16="http://schemas.microsoft.com/office/drawing/2014/main" id="{EF4B8AD0-1289-4143-74BE-629305C1DB4B}"/>
            </a:ext>
          </a:extLst>
        </xdr:cNvPr>
        <xdr:cNvCxnSpPr>
          <a:cxnSpLocks/>
        </xdr:cNvCxnSpPr>
      </xdr:nvCxnSpPr>
      <xdr:spPr bwMode="auto">
        <a:xfrm flipH="1">
          <a:off x="4048125" y="1743075"/>
          <a:ext cx="16192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133350</xdr:colOff>
      <xdr:row>13</xdr:row>
      <xdr:rowOff>142875</xdr:rowOff>
    </xdr:from>
    <xdr:to>
      <xdr:col>6</xdr:col>
      <xdr:colOff>504825</xdr:colOff>
      <xdr:row>13</xdr:row>
      <xdr:rowOff>142875</xdr:rowOff>
    </xdr:to>
    <xdr:cxnSp macro="">
      <xdr:nvCxnSpPr>
        <xdr:cNvPr id="3297302" name="Straight Connector 79">
          <a:extLst>
            <a:ext uri="{FF2B5EF4-FFF2-40B4-BE49-F238E27FC236}">
              <a16:creationId xmlns:a16="http://schemas.microsoft.com/office/drawing/2014/main" id="{99ACFBC5-B6DB-EEC5-B6A5-0E51CBD93DC1}"/>
            </a:ext>
          </a:extLst>
        </xdr:cNvPr>
        <xdr:cNvCxnSpPr>
          <a:cxnSpLocks/>
        </xdr:cNvCxnSpPr>
      </xdr:nvCxnSpPr>
      <xdr:spPr bwMode="auto">
        <a:xfrm flipH="1">
          <a:off x="4057650" y="2286000"/>
          <a:ext cx="37147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123825</xdr:colOff>
      <xdr:row>12</xdr:row>
      <xdr:rowOff>76200</xdr:rowOff>
    </xdr:from>
    <xdr:to>
      <xdr:col>6</xdr:col>
      <xdr:colOff>285750</xdr:colOff>
      <xdr:row>12</xdr:row>
      <xdr:rowOff>76200</xdr:rowOff>
    </xdr:to>
    <xdr:cxnSp macro="">
      <xdr:nvCxnSpPr>
        <xdr:cNvPr id="3297303" name="Straight Connector 80">
          <a:extLst>
            <a:ext uri="{FF2B5EF4-FFF2-40B4-BE49-F238E27FC236}">
              <a16:creationId xmlns:a16="http://schemas.microsoft.com/office/drawing/2014/main" id="{3B525B73-024B-397F-C72D-867976D24378}"/>
            </a:ext>
          </a:extLst>
        </xdr:cNvPr>
        <xdr:cNvCxnSpPr>
          <a:cxnSpLocks/>
        </xdr:cNvCxnSpPr>
      </xdr:nvCxnSpPr>
      <xdr:spPr bwMode="auto">
        <a:xfrm flipH="1">
          <a:off x="4048125" y="2057400"/>
          <a:ext cx="16192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219075</xdr:colOff>
      <xdr:row>9</xdr:row>
      <xdr:rowOff>28575</xdr:rowOff>
    </xdr:from>
    <xdr:to>
      <xdr:col>6</xdr:col>
      <xdr:colOff>219075</xdr:colOff>
      <xdr:row>10</xdr:row>
      <xdr:rowOff>85725</xdr:rowOff>
    </xdr:to>
    <xdr:cxnSp macro="">
      <xdr:nvCxnSpPr>
        <xdr:cNvPr id="3297304" name="Straight Connector 83">
          <a:extLst>
            <a:ext uri="{FF2B5EF4-FFF2-40B4-BE49-F238E27FC236}">
              <a16:creationId xmlns:a16="http://schemas.microsoft.com/office/drawing/2014/main" id="{01270FE7-0F67-EFEF-2068-11D2A865FA06}"/>
            </a:ext>
          </a:extLst>
        </xdr:cNvPr>
        <xdr:cNvCxnSpPr>
          <a:cxnSpLocks noChangeShapeType="1"/>
        </xdr:cNvCxnSpPr>
      </xdr:nvCxnSpPr>
      <xdr:spPr bwMode="auto">
        <a:xfrm>
          <a:off x="4143375" y="1524000"/>
          <a:ext cx="0" cy="21907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228600</xdr:colOff>
      <xdr:row>12</xdr:row>
      <xdr:rowOff>76200</xdr:rowOff>
    </xdr:from>
    <xdr:to>
      <xdr:col>6</xdr:col>
      <xdr:colOff>228600</xdr:colOff>
      <xdr:row>13</xdr:row>
      <xdr:rowOff>142875</xdr:rowOff>
    </xdr:to>
    <xdr:cxnSp macro="">
      <xdr:nvCxnSpPr>
        <xdr:cNvPr id="3297305" name="Straight Connector 84">
          <a:extLst>
            <a:ext uri="{FF2B5EF4-FFF2-40B4-BE49-F238E27FC236}">
              <a16:creationId xmlns:a16="http://schemas.microsoft.com/office/drawing/2014/main" id="{D436CA33-2EB9-9FD5-7242-CCCACE3DEA60}"/>
            </a:ext>
          </a:extLst>
        </xdr:cNvPr>
        <xdr:cNvCxnSpPr>
          <a:cxnSpLocks noChangeShapeType="1"/>
        </xdr:cNvCxnSpPr>
      </xdr:nvCxnSpPr>
      <xdr:spPr bwMode="auto">
        <a:xfrm>
          <a:off x="4152900" y="2057400"/>
          <a:ext cx="0" cy="22860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228600</xdr:colOff>
      <xdr:row>10</xdr:row>
      <xdr:rowOff>95250</xdr:rowOff>
    </xdr:from>
    <xdr:to>
      <xdr:col>6</xdr:col>
      <xdr:colOff>228600</xdr:colOff>
      <xdr:row>12</xdr:row>
      <xdr:rowOff>76200</xdr:rowOff>
    </xdr:to>
    <xdr:cxnSp macro="">
      <xdr:nvCxnSpPr>
        <xdr:cNvPr id="3297306" name="Straight Connector 85">
          <a:extLst>
            <a:ext uri="{FF2B5EF4-FFF2-40B4-BE49-F238E27FC236}">
              <a16:creationId xmlns:a16="http://schemas.microsoft.com/office/drawing/2014/main" id="{F5EF56E2-0A96-E110-87E4-D86F125B8272}"/>
            </a:ext>
          </a:extLst>
        </xdr:cNvPr>
        <xdr:cNvCxnSpPr>
          <a:cxnSpLocks noChangeShapeType="1"/>
        </xdr:cNvCxnSpPr>
      </xdr:nvCxnSpPr>
      <xdr:spPr bwMode="auto">
        <a:xfrm>
          <a:off x="4152900" y="1752600"/>
          <a:ext cx="0" cy="30480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type="stealth" w="sm" len="sm"/>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47625</xdr:colOff>
      <xdr:row>9</xdr:row>
      <xdr:rowOff>57150</xdr:rowOff>
    </xdr:from>
    <xdr:to>
      <xdr:col>6</xdr:col>
      <xdr:colOff>266700</xdr:colOff>
      <xdr:row>10</xdr:row>
      <xdr:rowOff>95250</xdr:rowOff>
    </xdr:to>
    <xdr:sp macro="" textlink="">
      <xdr:nvSpPr>
        <xdr:cNvPr id="86" name="Text Box 92">
          <a:extLst>
            <a:ext uri="{FF2B5EF4-FFF2-40B4-BE49-F238E27FC236}">
              <a16:creationId xmlns:a16="http://schemas.microsoft.com/office/drawing/2014/main" id="{354CB0C0-82E4-81A8-B98E-E0F2447FBD3E}"/>
            </a:ext>
          </a:extLst>
        </xdr:cNvPr>
        <xdr:cNvSpPr txBox="1">
          <a:spLocks noChangeArrowheads="1"/>
        </xdr:cNvSpPr>
      </xdr:nvSpPr>
      <xdr:spPr bwMode="auto">
        <a:xfrm>
          <a:off x="3971925" y="1552575"/>
          <a:ext cx="21907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B</a:t>
          </a:r>
          <a:r>
            <a:rPr lang="en-US" sz="800" b="0" i="0" u="none" strike="noStrike" baseline="0">
              <a:solidFill>
                <a:srgbClr val="0000FF"/>
              </a:solidFill>
              <a:latin typeface="Arial"/>
              <a:cs typeface="Arial"/>
            </a:rPr>
            <a:t>p</a:t>
          </a:r>
        </a:p>
      </xdr:txBody>
    </xdr:sp>
    <xdr:clientData/>
  </xdr:twoCellAnchor>
  <xdr:twoCellAnchor>
    <xdr:from>
      <xdr:col>6</xdr:col>
      <xdr:colOff>57150</xdr:colOff>
      <xdr:row>12</xdr:row>
      <xdr:rowOff>95250</xdr:rowOff>
    </xdr:from>
    <xdr:to>
      <xdr:col>6</xdr:col>
      <xdr:colOff>276225</xdr:colOff>
      <xdr:row>13</xdr:row>
      <xdr:rowOff>142875</xdr:rowOff>
    </xdr:to>
    <xdr:sp macro="" textlink="">
      <xdr:nvSpPr>
        <xdr:cNvPr id="87" name="Text Box 92">
          <a:extLst>
            <a:ext uri="{FF2B5EF4-FFF2-40B4-BE49-F238E27FC236}">
              <a16:creationId xmlns:a16="http://schemas.microsoft.com/office/drawing/2014/main" id="{24E6EC33-445C-66EB-ADF9-EA2520CF60A7}"/>
            </a:ext>
          </a:extLst>
        </xdr:cNvPr>
        <xdr:cNvSpPr txBox="1">
          <a:spLocks noChangeArrowheads="1"/>
        </xdr:cNvSpPr>
      </xdr:nvSpPr>
      <xdr:spPr bwMode="auto">
        <a:xfrm>
          <a:off x="3981450" y="2076450"/>
          <a:ext cx="2190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B</a:t>
          </a:r>
          <a:r>
            <a:rPr lang="en-US" sz="800" b="0" i="0" u="none" strike="noStrike" baseline="0">
              <a:solidFill>
                <a:srgbClr val="0000FF"/>
              </a:solidFill>
              <a:latin typeface="Arial"/>
              <a:cs typeface="Arial"/>
            </a:rPr>
            <a:t>p</a:t>
          </a:r>
        </a:p>
      </xdr:txBody>
    </xdr:sp>
    <xdr:clientData/>
  </xdr:twoCellAnchor>
  <xdr:twoCellAnchor>
    <xdr:from>
      <xdr:col>6</xdr:col>
      <xdr:colOff>47625</xdr:colOff>
      <xdr:row>10</xdr:row>
      <xdr:rowOff>152400</xdr:rowOff>
    </xdr:from>
    <xdr:to>
      <xdr:col>6</xdr:col>
      <xdr:colOff>266700</xdr:colOff>
      <xdr:row>12</xdr:row>
      <xdr:rowOff>28575</xdr:rowOff>
    </xdr:to>
    <xdr:sp macro="" textlink="">
      <xdr:nvSpPr>
        <xdr:cNvPr id="88" name="Text Box 92">
          <a:extLst>
            <a:ext uri="{FF2B5EF4-FFF2-40B4-BE49-F238E27FC236}">
              <a16:creationId xmlns:a16="http://schemas.microsoft.com/office/drawing/2014/main" id="{9952DE03-921C-C90E-F991-10188CFBFCE0}"/>
            </a:ext>
          </a:extLst>
        </xdr:cNvPr>
        <xdr:cNvSpPr txBox="1">
          <a:spLocks noChangeArrowheads="1"/>
        </xdr:cNvSpPr>
      </xdr:nvSpPr>
      <xdr:spPr bwMode="auto">
        <a:xfrm>
          <a:off x="3971925" y="1809750"/>
          <a:ext cx="21907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C</a:t>
          </a:r>
          <a:r>
            <a:rPr lang="en-US" sz="800" b="0" i="0" u="none" strike="noStrike" baseline="0">
              <a:solidFill>
                <a:srgbClr val="0000FF"/>
              </a:solidFill>
              <a:latin typeface="Arial"/>
              <a:cs typeface="Arial"/>
            </a:rPr>
            <a:t>p</a:t>
          </a:r>
        </a:p>
      </xdr:txBody>
    </xdr:sp>
    <xdr:clientData/>
  </xdr:twoCellAnchor>
  <xdr:twoCellAnchor>
    <xdr:from>
      <xdr:col>6</xdr:col>
      <xdr:colOff>504825</xdr:colOff>
      <xdr:row>15</xdr:row>
      <xdr:rowOff>19050</xdr:rowOff>
    </xdr:from>
    <xdr:to>
      <xdr:col>7</xdr:col>
      <xdr:colOff>95250</xdr:colOff>
      <xdr:row>17</xdr:row>
      <xdr:rowOff>95250</xdr:rowOff>
    </xdr:to>
    <xdr:sp macro="" textlink="">
      <xdr:nvSpPr>
        <xdr:cNvPr id="89" name="Arc 88">
          <a:extLst>
            <a:ext uri="{FF2B5EF4-FFF2-40B4-BE49-F238E27FC236}">
              <a16:creationId xmlns:a16="http://schemas.microsoft.com/office/drawing/2014/main" id="{B8F4195D-8B01-B86F-6D55-A9F5FB6CEF26}"/>
            </a:ext>
          </a:extLst>
        </xdr:cNvPr>
        <xdr:cNvSpPr/>
      </xdr:nvSpPr>
      <xdr:spPr bwMode="auto">
        <a:xfrm rot="10800000">
          <a:off x="4429125" y="2486025"/>
          <a:ext cx="200025" cy="400050"/>
        </a:xfrm>
        <a:prstGeom prst="arc">
          <a:avLst>
            <a:gd name="adj1" fmla="val 16537056"/>
            <a:gd name="adj2" fmla="val 169073"/>
          </a:avLst>
        </a:prstGeom>
        <a:solidFill>
          <a:srgbClr xmlns:mc="http://schemas.openxmlformats.org/markup-compatibility/2006" xmlns:a14="http://schemas.microsoft.com/office/drawing/2010/main" val="FFFFFF" mc:Ignorable="a14" a14:legacySpreadsheetColorIndex="9"/>
        </a:solidFill>
        <a:ln w="6350" cap="flat" cmpd="sng" algn="ctr">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en-SG"/>
        </a:p>
      </xdr:txBody>
    </xdr:sp>
    <xdr:clientData/>
  </xdr:twoCellAnchor>
  <xdr:twoCellAnchor>
    <xdr:from>
      <xdr:col>7</xdr:col>
      <xdr:colOff>523875</xdr:colOff>
      <xdr:row>15</xdr:row>
      <xdr:rowOff>0</xdr:rowOff>
    </xdr:from>
    <xdr:to>
      <xdr:col>8</xdr:col>
      <xdr:colOff>114300</xdr:colOff>
      <xdr:row>17</xdr:row>
      <xdr:rowOff>76200</xdr:rowOff>
    </xdr:to>
    <xdr:sp macro="" textlink="">
      <xdr:nvSpPr>
        <xdr:cNvPr id="90" name="Arc 89">
          <a:extLst>
            <a:ext uri="{FF2B5EF4-FFF2-40B4-BE49-F238E27FC236}">
              <a16:creationId xmlns:a16="http://schemas.microsoft.com/office/drawing/2014/main" id="{CC8D32CC-1303-3B66-1C6D-F6571368D488}"/>
            </a:ext>
          </a:extLst>
        </xdr:cNvPr>
        <xdr:cNvSpPr/>
      </xdr:nvSpPr>
      <xdr:spPr bwMode="auto">
        <a:xfrm>
          <a:off x="5057775" y="2466975"/>
          <a:ext cx="200025" cy="400050"/>
        </a:xfrm>
        <a:prstGeom prst="arc">
          <a:avLst>
            <a:gd name="adj1" fmla="val 16537056"/>
            <a:gd name="adj2" fmla="val 169073"/>
          </a:avLst>
        </a:prstGeom>
        <a:solidFill>
          <a:srgbClr xmlns:mc="http://schemas.openxmlformats.org/markup-compatibility/2006" xmlns:a14="http://schemas.microsoft.com/office/drawing/2010/main" val="FFFFFF" mc:Ignorable="a14" a14:legacySpreadsheetColorIndex="9"/>
        </a:solidFill>
        <a:ln w="6350" cap="flat" cmpd="sng" algn="ctr">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en-SG"/>
        </a:p>
      </xdr:txBody>
    </xdr:sp>
    <xdr:clientData/>
  </xdr:twoCellAnchor>
  <xdr:twoCellAnchor>
    <xdr:from>
      <xdr:col>8</xdr:col>
      <xdr:colOff>104775</xdr:colOff>
      <xdr:row>14</xdr:row>
      <xdr:rowOff>133350</xdr:rowOff>
    </xdr:from>
    <xdr:to>
      <xdr:col>8</xdr:col>
      <xdr:colOff>323850</xdr:colOff>
      <xdr:row>16</xdr:row>
      <xdr:rowOff>19050</xdr:rowOff>
    </xdr:to>
    <xdr:sp macro="" textlink="">
      <xdr:nvSpPr>
        <xdr:cNvPr id="91" name="Text Box 92">
          <a:extLst>
            <a:ext uri="{FF2B5EF4-FFF2-40B4-BE49-F238E27FC236}">
              <a16:creationId xmlns:a16="http://schemas.microsoft.com/office/drawing/2014/main" id="{89C281F2-4CB5-2731-CC65-853DF9DC5961}"/>
            </a:ext>
          </a:extLst>
        </xdr:cNvPr>
        <xdr:cNvSpPr txBox="1">
          <a:spLocks noChangeArrowheads="1"/>
        </xdr:cNvSpPr>
      </xdr:nvSpPr>
      <xdr:spPr bwMode="auto">
        <a:xfrm>
          <a:off x="5248275" y="2438400"/>
          <a:ext cx="2190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45°</a:t>
          </a:r>
          <a:endParaRPr lang="en-US" sz="800" b="0" i="0" u="none" strike="noStrike" baseline="0">
            <a:solidFill>
              <a:srgbClr val="0000FF"/>
            </a:solidFill>
            <a:latin typeface="Arial"/>
            <a:cs typeface="Arial"/>
          </a:endParaRPr>
        </a:p>
      </xdr:txBody>
    </xdr:sp>
    <xdr:clientData/>
  </xdr:twoCellAnchor>
  <xdr:twoCellAnchor>
    <xdr:from>
      <xdr:col>6</xdr:col>
      <xdr:colOff>180975</xdr:colOff>
      <xdr:row>16</xdr:row>
      <xdr:rowOff>95250</xdr:rowOff>
    </xdr:from>
    <xdr:to>
      <xdr:col>6</xdr:col>
      <xdr:colOff>542925</xdr:colOff>
      <xdr:row>17</xdr:row>
      <xdr:rowOff>142875</xdr:rowOff>
    </xdr:to>
    <xdr:sp macro="" textlink="">
      <xdr:nvSpPr>
        <xdr:cNvPr id="92" name="Text Box 92">
          <a:extLst>
            <a:ext uri="{FF2B5EF4-FFF2-40B4-BE49-F238E27FC236}">
              <a16:creationId xmlns:a16="http://schemas.microsoft.com/office/drawing/2014/main" id="{F18C930A-8ED2-B1C0-30BE-D04857DBCA37}"/>
            </a:ext>
          </a:extLst>
        </xdr:cNvPr>
        <xdr:cNvSpPr txBox="1">
          <a:spLocks noChangeArrowheads="1"/>
        </xdr:cNvSpPr>
      </xdr:nvSpPr>
      <xdr:spPr bwMode="auto">
        <a:xfrm>
          <a:off x="4105275" y="2724150"/>
          <a:ext cx="3619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22.5°</a:t>
          </a:r>
          <a:endParaRPr lang="en-US" sz="800" b="0" i="0" u="none" strike="noStrike" baseline="0">
            <a:solidFill>
              <a:srgbClr val="0000FF"/>
            </a:solidFill>
            <a:latin typeface="Arial"/>
            <a:cs typeface="Arial"/>
          </a:endParaRPr>
        </a:p>
      </xdr:txBody>
    </xdr:sp>
    <xdr:clientData/>
  </xdr:twoCellAnchor>
  <xdr:twoCellAnchor>
    <xdr:from>
      <xdr:col>7</xdr:col>
      <xdr:colOff>142875</xdr:colOff>
      <xdr:row>11</xdr:row>
      <xdr:rowOff>0</xdr:rowOff>
    </xdr:from>
    <xdr:to>
      <xdr:col>7</xdr:col>
      <xdr:colOff>457200</xdr:colOff>
      <xdr:row>12</xdr:row>
      <xdr:rowOff>57150</xdr:rowOff>
    </xdr:to>
    <xdr:sp macro="" textlink="">
      <xdr:nvSpPr>
        <xdr:cNvPr id="93" name="Text Box 92">
          <a:extLst>
            <a:ext uri="{FF2B5EF4-FFF2-40B4-BE49-F238E27FC236}">
              <a16:creationId xmlns:a16="http://schemas.microsoft.com/office/drawing/2014/main" id="{145E0F7C-D80D-865A-1BBE-07E30172261B}"/>
            </a:ext>
          </a:extLst>
        </xdr:cNvPr>
        <xdr:cNvSpPr txBox="1">
          <a:spLocks noChangeArrowheads="1"/>
        </xdr:cNvSpPr>
      </xdr:nvSpPr>
      <xdr:spPr bwMode="auto">
        <a:xfrm>
          <a:off x="4676775" y="1819275"/>
          <a:ext cx="314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Pier</a:t>
          </a:r>
          <a:endParaRPr lang="en-US" sz="800" b="0" i="0" u="none" strike="noStrike" baseline="0">
            <a:solidFill>
              <a:srgbClr val="0000FF"/>
            </a:solidFill>
            <a:latin typeface="Arial"/>
            <a:cs typeface="Arial"/>
          </a:endParaRPr>
        </a:p>
      </xdr:txBody>
    </xdr:sp>
    <xdr:clientData/>
  </xdr:twoCellAnchor>
  <xdr:twoCellAnchor>
    <xdr:from>
      <xdr:col>7</xdr:col>
      <xdr:colOff>180975</xdr:colOff>
      <xdr:row>7</xdr:row>
      <xdr:rowOff>85725</xdr:rowOff>
    </xdr:from>
    <xdr:to>
      <xdr:col>7</xdr:col>
      <xdr:colOff>495300</xdr:colOff>
      <xdr:row>8</xdr:row>
      <xdr:rowOff>142875</xdr:rowOff>
    </xdr:to>
    <xdr:sp macro="" textlink="">
      <xdr:nvSpPr>
        <xdr:cNvPr id="94" name="Text Box 92">
          <a:extLst>
            <a:ext uri="{FF2B5EF4-FFF2-40B4-BE49-F238E27FC236}">
              <a16:creationId xmlns:a16="http://schemas.microsoft.com/office/drawing/2014/main" id="{3EDEA496-5DCE-682E-82F3-92EF05F9DC91}"/>
            </a:ext>
          </a:extLst>
        </xdr:cNvPr>
        <xdr:cNvSpPr txBox="1">
          <a:spLocks noChangeArrowheads="1"/>
        </xdr:cNvSpPr>
      </xdr:nvSpPr>
      <xdr:spPr bwMode="auto">
        <a:xfrm>
          <a:off x="4714875" y="1257300"/>
          <a:ext cx="314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Base</a:t>
          </a:r>
          <a:endParaRPr lang="en-US" sz="800" b="0" i="0" u="none" strike="noStrike" baseline="0">
            <a:solidFill>
              <a:srgbClr val="0000FF"/>
            </a:solidFill>
            <a:latin typeface="Arial"/>
            <a:cs typeface="Arial"/>
          </a:endParaRPr>
        </a:p>
      </xdr:txBody>
    </xdr:sp>
    <xdr:clientData/>
  </xdr:twoCellAnchor>
  <xdr:twoCellAnchor>
    <xdr:from>
      <xdr:col>5</xdr:col>
      <xdr:colOff>19050</xdr:colOff>
      <xdr:row>23</xdr:row>
      <xdr:rowOff>57150</xdr:rowOff>
    </xdr:from>
    <xdr:to>
      <xdr:col>5</xdr:col>
      <xdr:colOff>333375</xdr:colOff>
      <xdr:row>24</xdr:row>
      <xdr:rowOff>114300</xdr:rowOff>
    </xdr:to>
    <xdr:sp macro="" textlink="">
      <xdr:nvSpPr>
        <xdr:cNvPr id="95" name="Text Box 92">
          <a:extLst>
            <a:ext uri="{FF2B5EF4-FFF2-40B4-BE49-F238E27FC236}">
              <a16:creationId xmlns:a16="http://schemas.microsoft.com/office/drawing/2014/main" id="{F3B3A829-34F5-AA95-D508-7200D4804871}"/>
            </a:ext>
          </a:extLst>
        </xdr:cNvPr>
        <xdr:cNvSpPr txBox="1">
          <a:spLocks noChangeArrowheads="1"/>
        </xdr:cNvSpPr>
      </xdr:nvSpPr>
      <xdr:spPr bwMode="auto">
        <a:xfrm>
          <a:off x="3333750" y="3819525"/>
          <a:ext cx="314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Base</a:t>
          </a:r>
          <a:endParaRPr lang="en-US" sz="800" b="0" i="0" u="none" strike="noStrike" baseline="0">
            <a:solidFill>
              <a:srgbClr val="0000FF"/>
            </a:solidFill>
            <a:latin typeface="Arial"/>
            <a:cs typeface="Arial"/>
          </a:endParaRPr>
        </a:p>
      </xdr:txBody>
    </xdr:sp>
    <xdr:clientData/>
  </xdr:twoCellAnchor>
  <xdr:twoCellAnchor>
    <xdr:from>
      <xdr:col>5</xdr:col>
      <xdr:colOff>57150</xdr:colOff>
      <xdr:row>21</xdr:row>
      <xdr:rowOff>142875</xdr:rowOff>
    </xdr:from>
    <xdr:to>
      <xdr:col>5</xdr:col>
      <xdr:colOff>371475</xdr:colOff>
      <xdr:row>23</xdr:row>
      <xdr:rowOff>38100</xdr:rowOff>
    </xdr:to>
    <xdr:sp macro="" textlink="">
      <xdr:nvSpPr>
        <xdr:cNvPr id="96" name="Text Box 92">
          <a:extLst>
            <a:ext uri="{FF2B5EF4-FFF2-40B4-BE49-F238E27FC236}">
              <a16:creationId xmlns:a16="http://schemas.microsoft.com/office/drawing/2014/main" id="{1DF6F587-81B1-DBA9-58CE-4DF070F8D7D6}"/>
            </a:ext>
          </a:extLst>
        </xdr:cNvPr>
        <xdr:cNvSpPr txBox="1">
          <a:spLocks noChangeArrowheads="1"/>
        </xdr:cNvSpPr>
      </xdr:nvSpPr>
      <xdr:spPr bwMode="auto">
        <a:xfrm>
          <a:off x="3371850" y="3581400"/>
          <a:ext cx="314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0">
              <a:solidFill>
                <a:srgbClr val="0000FF"/>
              </a:solidFill>
              <a:latin typeface="Arial"/>
              <a:cs typeface="Arial"/>
            </a:rPr>
            <a:t>Pier</a:t>
          </a:r>
          <a:endParaRPr lang="en-US" sz="800" b="0" i="0" u="none" strike="noStrike" baseline="0">
            <a:solidFill>
              <a:srgbClr val="0000FF"/>
            </a:solidFill>
            <a:latin typeface="Arial"/>
            <a:cs typeface="Arial"/>
          </a:endParaRPr>
        </a:p>
      </xdr:txBody>
    </xdr:sp>
    <xdr:clientData/>
  </xdr:twoCellAnchor>
  <xdr:twoCellAnchor>
    <xdr:from>
      <xdr:col>5</xdr:col>
      <xdr:colOff>314325</xdr:colOff>
      <xdr:row>22</xdr:row>
      <xdr:rowOff>57150</xdr:rowOff>
    </xdr:from>
    <xdr:to>
      <xdr:col>6</xdr:col>
      <xdr:colOff>295275</xdr:colOff>
      <xdr:row>22</xdr:row>
      <xdr:rowOff>57150</xdr:rowOff>
    </xdr:to>
    <xdr:cxnSp macro="">
      <xdr:nvCxnSpPr>
        <xdr:cNvPr id="3297318" name="Straight Connector 3">
          <a:extLst>
            <a:ext uri="{FF2B5EF4-FFF2-40B4-BE49-F238E27FC236}">
              <a16:creationId xmlns:a16="http://schemas.microsoft.com/office/drawing/2014/main" id="{1810F080-B9BB-0814-D23A-C5AD75168979}"/>
            </a:ext>
          </a:extLst>
        </xdr:cNvPr>
        <xdr:cNvCxnSpPr>
          <a:cxnSpLocks noChangeShapeType="1"/>
        </xdr:cNvCxnSpPr>
      </xdr:nvCxnSpPr>
      <xdr:spPr bwMode="auto">
        <a:xfrm>
          <a:off x="3629025" y="3657600"/>
          <a:ext cx="590550"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342900</xdr:colOff>
      <xdr:row>23</xdr:row>
      <xdr:rowOff>133350</xdr:rowOff>
    </xdr:from>
    <xdr:to>
      <xdr:col>5</xdr:col>
      <xdr:colOff>476250</xdr:colOff>
      <xdr:row>23</xdr:row>
      <xdr:rowOff>133350</xdr:rowOff>
    </xdr:to>
    <xdr:cxnSp macro="">
      <xdr:nvCxnSpPr>
        <xdr:cNvPr id="3297319" name="Straight Connector 112">
          <a:extLst>
            <a:ext uri="{FF2B5EF4-FFF2-40B4-BE49-F238E27FC236}">
              <a16:creationId xmlns:a16="http://schemas.microsoft.com/office/drawing/2014/main" id="{7F940105-2F1E-F7B3-0975-E2750A00A444}"/>
            </a:ext>
          </a:extLst>
        </xdr:cNvPr>
        <xdr:cNvCxnSpPr>
          <a:cxnSpLocks noChangeShapeType="1"/>
        </xdr:cNvCxnSpPr>
      </xdr:nvCxnSpPr>
      <xdr:spPr bwMode="auto">
        <a:xfrm>
          <a:off x="3657600" y="3895725"/>
          <a:ext cx="133350"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type="stealth"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10</xdr:col>
      <xdr:colOff>1905</xdr:colOff>
      <xdr:row>2</xdr:row>
      <xdr:rowOff>80010</xdr:rowOff>
    </xdr:from>
    <xdr:to>
      <xdr:col>11</xdr:col>
      <xdr:colOff>72390</xdr:colOff>
      <xdr:row>5</xdr:row>
      <xdr:rowOff>148590</xdr:rowOff>
    </xdr:to>
    <xdr:sp macro="[0]!FillAndCopyNode2Data_PositionBased_Clear" textlink="">
      <xdr:nvSpPr>
        <xdr:cNvPr id="3" name="Rectangle: Rounded Corners 2">
          <a:extLst>
            <a:ext uri="{FF2B5EF4-FFF2-40B4-BE49-F238E27FC236}">
              <a16:creationId xmlns:a16="http://schemas.microsoft.com/office/drawing/2014/main" id="{4FF904A2-71B2-4EE5-9E2E-EC5B41834623}"/>
            </a:ext>
          </a:extLst>
        </xdr:cNvPr>
        <xdr:cNvSpPr/>
      </xdr:nvSpPr>
      <xdr:spPr>
        <a:xfrm>
          <a:off x="6156960" y="579120"/>
          <a:ext cx="1295400" cy="617220"/>
        </a:xfrm>
        <a:prstGeom prst="roundRect">
          <a:avLst/>
        </a:prstGeom>
        <a:solidFill>
          <a:schemeClr val="accent6">
            <a:lumMod val="40000"/>
            <a:lumOff val="60000"/>
          </a:schemeClr>
        </a:solidFill>
        <a:ln>
          <a:solidFill>
            <a:schemeClr val="accent5">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400" b="1">
              <a:solidFill>
                <a:srgbClr val="C00000"/>
              </a:solidFill>
            </a:rPr>
            <a:t>STEP1</a:t>
          </a:r>
        </a:p>
      </xdr:txBody>
    </xdr:sp>
    <xdr:clientData/>
  </xdr:twoCellAnchor>
  <xdr:twoCellAnchor editAs="absolute">
    <xdr:from>
      <xdr:col>10</xdr:col>
      <xdr:colOff>3810</xdr:colOff>
      <xdr:row>6</xdr:row>
      <xdr:rowOff>186690</xdr:rowOff>
    </xdr:from>
    <xdr:to>
      <xdr:col>11</xdr:col>
      <xdr:colOff>72390</xdr:colOff>
      <xdr:row>10</xdr:row>
      <xdr:rowOff>34290</xdr:rowOff>
    </xdr:to>
    <xdr:sp macro="[0]!ProcessLoadDataToFooting" textlink="">
      <xdr:nvSpPr>
        <xdr:cNvPr id="4" name="Rectangle: Rounded Corners 3">
          <a:extLst>
            <a:ext uri="{FF2B5EF4-FFF2-40B4-BE49-F238E27FC236}">
              <a16:creationId xmlns:a16="http://schemas.microsoft.com/office/drawing/2014/main" id="{49494578-10B0-49A9-8116-BF553937A27A}"/>
            </a:ext>
          </a:extLst>
        </xdr:cNvPr>
        <xdr:cNvSpPr/>
      </xdr:nvSpPr>
      <xdr:spPr>
        <a:xfrm>
          <a:off x="6149340" y="1424940"/>
          <a:ext cx="1295400" cy="617220"/>
        </a:xfrm>
        <a:prstGeom prst="roundRect">
          <a:avLst/>
        </a:prstGeom>
        <a:solidFill>
          <a:schemeClr val="accent6">
            <a:lumMod val="40000"/>
            <a:lumOff val="60000"/>
          </a:schemeClr>
        </a:solidFill>
        <a:ln>
          <a:solidFill>
            <a:schemeClr val="accent5">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400" b="1">
              <a:solidFill>
                <a:srgbClr val="C00000"/>
              </a:solidFill>
            </a:rPr>
            <a:t>STEP2</a:t>
          </a:r>
        </a:p>
      </xdr:txBody>
    </xdr:sp>
    <xdr:clientData/>
  </xdr:twoCellAnchor>
  <xdr:twoCellAnchor editAs="absolute">
    <xdr:from>
      <xdr:col>9</xdr:col>
      <xdr:colOff>575310</xdr:colOff>
      <xdr:row>11</xdr:row>
      <xdr:rowOff>34290</xdr:rowOff>
    </xdr:from>
    <xdr:to>
      <xdr:col>11</xdr:col>
      <xdr:colOff>38100</xdr:colOff>
      <xdr:row>14</xdr:row>
      <xdr:rowOff>72390</xdr:rowOff>
    </xdr:to>
    <xdr:sp macro="[0]!FindMaxRatioAndUpdateFooting" textlink="">
      <xdr:nvSpPr>
        <xdr:cNvPr id="5" name="Rectangle: Rounded Corners 4">
          <a:extLst>
            <a:ext uri="{FF2B5EF4-FFF2-40B4-BE49-F238E27FC236}">
              <a16:creationId xmlns:a16="http://schemas.microsoft.com/office/drawing/2014/main" id="{A09EF46B-31F6-4843-A9BC-5115DEC7F005}"/>
            </a:ext>
          </a:extLst>
        </xdr:cNvPr>
        <xdr:cNvSpPr/>
      </xdr:nvSpPr>
      <xdr:spPr>
        <a:xfrm>
          <a:off x="6134100" y="2225040"/>
          <a:ext cx="1295400" cy="617220"/>
        </a:xfrm>
        <a:prstGeom prst="roundRect">
          <a:avLst/>
        </a:prstGeom>
        <a:solidFill>
          <a:schemeClr val="accent6">
            <a:lumMod val="40000"/>
            <a:lumOff val="60000"/>
          </a:schemeClr>
        </a:solidFill>
        <a:ln>
          <a:solidFill>
            <a:schemeClr val="accent5">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400" b="1">
              <a:solidFill>
                <a:srgbClr val="C00000"/>
              </a:solidFill>
            </a:rPr>
            <a:t>STEP3</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4.%20DATA\NXDuyen\Tank%20Foundation%20Design\FOOTINGS(upd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
      <sheetName val="Footing (8 net pier loads)"/>
      <sheetName val="Footing (16 net pier loads)"/>
      <sheetName val="Footing (breakdown of loads)"/>
      <sheetName val="Unsymmetrical Footing Base"/>
      <sheetName val="Footings (Table)"/>
      <sheetName val="Footings (Pier Table)"/>
    </sheetNames>
    <sheetDataSet>
      <sheetData sheetId="0"/>
      <sheetData sheetId="1">
        <row r="1">
          <cell r="A1" t="str">
            <v>RECTANGULAR SPREAD FOOTING ANALYSIS</v>
          </cell>
        </row>
      </sheetData>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00125-5EAF-407F-8B8B-A2D998DEC560}">
  <sheetPr codeName="Sheet7"/>
  <dimension ref="A1:BQ165"/>
  <sheetViews>
    <sheetView zoomScaleNormal="100" zoomScaleSheetLayoutView="110" workbookViewId="0">
      <selection activeCell="Q18" sqref="Q18"/>
    </sheetView>
  </sheetViews>
  <sheetFormatPr defaultColWidth="9.109375" defaultRowHeight="13.2"/>
  <cols>
    <col min="1" max="1" width="12.6640625" style="13" customWidth="1"/>
    <col min="2" max="2" width="9.5546875" style="13" customWidth="1"/>
    <col min="3" max="7" width="9.109375" style="13"/>
    <col min="8" max="8" width="9.109375" style="13" customWidth="1"/>
    <col min="9" max="9" width="9.109375" style="13"/>
    <col min="10" max="10" width="8" style="34" customWidth="1"/>
    <col min="11" max="11" width="9.109375" style="13"/>
    <col min="12" max="12" width="10.44140625" style="13" customWidth="1"/>
    <col min="13" max="13" width="9.33203125" style="13" customWidth="1"/>
    <col min="14" max="14" width="9.109375" style="13"/>
    <col min="15" max="27" width="9.109375" style="13" customWidth="1"/>
    <col min="28" max="29" width="9.109375" style="71" customWidth="1"/>
    <col min="30" max="32" width="9.109375" style="111" customWidth="1"/>
    <col min="33" max="33" width="9.109375" style="71" customWidth="1"/>
    <col min="34" max="35" width="9.109375" style="112" customWidth="1"/>
    <col min="36" max="40" width="9.109375" style="71" customWidth="1"/>
    <col min="41" max="41" width="9.109375" style="110" customWidth="1"/>
    <col min="42" max="46" width="9.109375" style="71" customWidth="1"/>
    <col min="47" max="47" width="9.109375" style="33" customWidth="1"/>
    <col min="48" max="48" width="9.109375" style="21" customWidth="1"/>
    <col min="49" max="55" width="9.109375" style="33" customWidth="1"/>
    <col min="56" max="57" width="9.109375" style="13" customWidth="1"/>
    <col min="58" max="63" width="9.109375" style="55" customWidth="1"/>
    <col min="64" max="68" width="9.109375" style="55"/>
    <col min="69" max="69" width="9.109375" style="13"/>
    <col min="70" max="16384" width="9.109375" style="32"/>
  </cols>
  <sheetData>
    <row r="1" spans="1:57" ht="15.6">
      <c r="A1" s="53" t="s">
        <v>43</v>
      </c>
      <c r="B1" s="1"/>
      <c r="C1" s="2"/>
      <c r="D1" s="2"/>
      <c r="E1" s="2"/>
      <c r="F1" s="2"/>
      <c r="G1" s="1"/>
      <c r="H1" s="1"/>
      <c r="I1" s="1"/>
      <c r="J1" s="54"/>
      <c r="K1" s="108" t="s">
        <v>159</v>
      </c>
      <c r="R1" s="109" t="s">
        <v>44</v>
      </c>
      <c r="S1" s="110"/>
      <c r="T1" s="111"/>
      <c r="U1" s="111"/>
      <c r="V1" s="71"/>
      <c r="W1" s="112"/>
      <c r="X1" s="112"/>
      <c r="Y1" s="71"/>
      <c r="Z1" s="71"/>
      <c r="AA1" s="71"/>
      <c r="AD1" s="110"/>
      <c r="AE1" s="85"/>
      <c r="AF1" s="85"/>
      <c r="AG1" s="85"/>
      <c r="AH1" s="85"/>
      <c r="AI1" s="85"/>
      <c r="AJ1" s="85"/>
      <c r="AK1" s="21"/>
      <c r="AL1" s="33"/>
      <c r="AM1" s="33"/>
      <c r="AN1" s="33"/>
      <c r="AO1" s="33"/>
      <c r="AP1" s="33"/>
      <c r="AQ1" s="33"/>
      <c r="AR1" s="33"/>
      <c r="AS1" s="13"/>
      <c r="AT1" s="13"/>
      <c r="AU1" s="13"/>
      <c r="AV1" s="13"/>
      <c r="AW1" s="13"/>
      <c r="AX1" s="13"/>
      <c r="AY1" s="13"/>
      <c r="AZ1" s="13"/>
      <c r="BA1" s="13"/>
      <c r="BB1" s="13"/>
      <c r="BC1" s="13"/>
    </row>
    <row r="2" spans="1:57">
      <c r="A2" s="56" t="s">
        <v>45</v>
      </c>
      <c r="B2" s="3"/>
      <c r="C2" s="4"/>
      <c r="D2" s="3"/>
      <c r="E2" s="3"/>
      <c r="F2" s="3"/>
      <c r="G2" s="5"/>
      <c r="H2" s="5"/>
      <c r="I2" s="5"/>
      <c r="J2" s="57"/>
      <c r="O2" s="113" t="s">
        <v>28</v>
      </c>
      <c r="P2" s="114"/>
      <c r="R2" s="71"/>
      <c r="S2" s="110"/>
      <c r="T2" s="115"/>
      <c r="U2" s="111"/>
      <c r="V2" s="71"/>
      <c r="W2" s="112"/>
      <c r="X2" s="112"/>
      <c r="Y2" s="71"/>
      <c r="Z2" s="71"/>
      <c r="AA2" s="71"/>
      <c r="AD2" s="110"/>
      <c r="AE2" s="85"/>
      <c r="AF2" s="85"/>
      <c r="AG2" s="85"/>
      <c r="AH2" s="85"/>
      <c r="AI2" s="85"/>
      <c r="AJ2" s="85"/>
      <c r="AK2" s="116"/>
      <c r="AL2" s="116"/>
      <c r="AM2" s="33"/>
      <c r="AN2" s="33"/>
      <c r="AO2" s="33"/>
      <c r="AP2" s="33"/>
      <c r="AQ2" s="33"/>
      <c r="AR2" s="33"/>
      <c r="AS2" s="13"/>
      <c r="AT2" s="13"/>
      <c r="AU2" s="13"/>
      <c r="AV2" s="13"/>
      <c r="AW2" s="13"/>
      <c r="AX2" s="13"/>
      <c r="AY2" s="13"/>
      <c r="AZ2" s="13"/>
      <c r="BA2" s="13"/>
      <c r="BB2" s="13"/>
      <c r="BC2" s="13"/>
    </row>
    <row r="3" spans="1:57">
      <c r="A3" s="58" t="s">
        <v>46</v>
      </c>
      <c r="B3" s="6"/>
      <c r="C3" s="6"/>
      <c r="D3" s="6"/>
      <c r="E3" s="6"/>
      <c r="F3" s="6"/>
      <c r="G3" s="7"/>
      <c r="H3" s="7"/>
      <c r="I3" s="7"/>
      <c r="J3" s="59"/>
      <c r="L3" s="18" t="s">
        <v>39</v>
      </c>
      <c r="M3" s="14"/>
      <c r="O3" s="117" t="s">
        <v>29</v>
      </c>
      <c r="P3" s="117" t="s">
        <v>30</v>
      </c>
      <c r="R3" s="118" t="s">
        <v>47</v>
      </c>
      <c r="S3" s="119" t="s">
        <v>48</v>
      </c>
      <c r="T3" s="71"/>
      <c r="U3" s="111"/>
      <c r="V3" s="120"/>
      <c r="W3" s="112"/>
      <c r="X3" s="112"/>
      <c r="Y3" s="120"/>
      <c r="Z3" s="120"/>
      <c r="AA3" s="120"/>
      <c r="AB3" s="120"/>
      <c r="AC3" s="120"/>
      <c r="AD3" s="110"/>
      <c r="AE3" s="71"/>
      <c r="AF3" s="71"/>
      <c r="AH3" s="71"/>
      <c r="AI3" s="71"/>
      <c r="AJ3" s="33"/>
      <c r="AK3" s="21"/>
      <c r="AL3" s="33"/>
      <c r="AM3" s="33"/>
      <c r="AN3" s="33"/>
      <c r="AO3" s="33"/>
      <c r="AP3" s="33"/>
      <c r="AQ3" s="33"/>
      <c r="AR3" s="33"/>
      <c r="AS3" s="13"/>
      <c r="AT3" s="13"/>
      <c r="AU3" s="13"/>
      <c r="AV3" s="13"/>
      <c r="AW3" s="13"/>
      <c r="AX3" s="13"/>
      <c r="AY3" s="13"/>
      <c r="AZ3" s="13"/>
      <c r="BA3" s="13"/>
      <c r="BB3" s="13"/>
      <c r="BC3" s="13"/>
    </row>
    <row r="4" spans="1:57">
      <c r="A4" s="60" t="s">
        <v>12</v>
      </c>
      <c r="B4" s="61"/>
      <c r="C4" s="62"/>
      <c r="D4" s="62"/>
      <c r="E4" s="62"/>
      <c r="F4" s="8" t="s">
        <v>13</v>
      </c>
      <c r="G4" s="63"/>
      <c r="H4" s="64"/>
      <c r="I4" s="64"/>
      <c r="J4" s="65"/>
      <c r="L4" s="48" t="s">
        <v>40</v>
      </c>
      <c r="M4" s="107">
        <v>1</v>
      </c>
      <c r="O4" s="163">
        <f>MAX($C$9,$C$9*M$4)+0.2</f>
        <v>8.7999999999999989</v>
      </c>
      <c r="P4" s="164">
        <f>MAX($C$9/$M$4,$C$9)+0.2</f>
        <v>8.7999999999999989</v>
      </c>
      <c r="R4" s="71"/>
      <c r="S4" s="71" t="s">
        <v>49</v>
      </c>
      <c r="T4" s="115"/>
      <c r="U4" s="111"/>
      <c r="V4" s="110"/>
      <c r="W4" s="112"/>
      <c r="X4" s="112"/>
      <c r="Y4" s="110"/>
      <c r="Z4" s="110"/>
      <c r="AA4" s="110"/>
      <c r="AB4" s="110"/>
      <c r="AC4" s="110"/>
      <c r="AD4" s="110"/>
      <c r="AE4" s="71"/>
      <c r="AF4" s="71"/>
      <c r="AH4" s="71"/>
      <c r="AI4" s="71"/>
      <c r="AJ4" s="33"/>
      <c r="AK4" s="21"/>
      <c r="AL4" s="33"/>
      <c r="AM4" s="33"/>
      <c r="AN4" s="33"/>
      <c r="AO4" s="33"/>
      <c r="AP4" s="33"/>
      <c r="AQ4" s="33"/>
      <c r="AR4" s="33"/>
      <c r="AS4" s="13"/>
      <c r="AT4" s="13"/>
      <c r="AU4" s="13"/>
      <c r="AV4" s="13"/>
      <c r="AW4" s="13"/>
      <c r="AX4" s="13"/>
      <c r="AY4" s="13"/>
      <c r="AZ4" s="13"/>
      <c r="BA4" s="13"/>
      <c r="BB4" s="13"/>
      <c r="BC4" s="13"/>
    </row>
    <row r="5" spans="1:57">
      <c r="A5" s="60" t="s">
        <v>14</v>
      </c>
      <c r="B5" s="66"/>
      <c r="C5" s="67"/>
      <c r="D5" s="67"/>
      <c r="E5" s="67"/>
      <c r="F5" s="39" t="s">
        <v>15</v>
      </c>
      <c r="G5" s="63"/>
      <c r="H5" s="65"/>
      <c r="I5" s="68" t="s">
        <v>16</v>
      </c>
      <c r="J5" s="65"/>
      <c r="R5" s="110"/>
      <c r="S5" s="119"/>
      <c r="T5" s="111"/>
      <c r="U5" s="111"/>
      <c r="V5" s="121"/>
      <c r="W5" s="122"/>
      <c r="X5" s="122"/>
      <c r="Y5" s="123"/>
      <c r="Z5" s="123"/>
      <c r="AA5" s="123"/>
      <c r="AB5" s="123"/>
      <c r="AC5" s="89"/>
      <c r="AD5" s="89"/>
      <c r="AE5" s="33"/>
      <c r="AF5" s="33"/>
      <c r="AG5" s="33"/>
      <c r="AH5" s="42"/>
      <c r="AI5" s="33"/>
      <c r="AJ5" s="33"/>
      <c r="AK5" s="33"/>
      <c r="AL5" s="13"/>
      <c r="AM5" s="13"/>
      <c r="AN5" s="13"/>
      <c r="AO5" s="13"/>
      <c r="AP5" s="13"/>
      <c r="AQ5" s="13"/>
      <c r="AR5" s="13"/>
      <c r="AS5" s="13"/>
      <c r="AT5" s="13"/>
      <c r="AU5" s="71"/>
      <c r="AV5" s="124"/>
      <c r="AW5" s="125" t="s">
        <v>50</v>
      </c>
      <c r="AX5" s="126"/>
      <c r="AY5" s="126"/>
      <c r="AZ5" s="126"/>
      <c r="BA5" s="126"/>
      <c r="BB5" s="24"/>
      <c r="BC5" s="24"/>
      <c r="BD5" s="127"/>
      <c r="BE5" s="127"/>
    </row>
    <row r="6" spans="1:57">
      <c r="A6" s="69"/>
      <c r="B6" s="70"/>
      <c r="C6" s="70"/>
      <c r="D6" s="70"/>
      <c r="E6" s="70"/>
      <c r="F6" s="70"/>
      <c r="G6" s="71"/>
      <c r="H6" s="71"/>
      <c r="I6" s="167"/>
      <c r="J6" s="168"/>
      <c r="R6" s="128" t="s">
        <v>51</v>
      </c>
      <c r="S6" s="129"/>
      <c r="T6" s="129"/>
      <c r="U6" s="129"/>
      <c r="V6" s="130"/>
      <c r="W6" s="131"/>
      <c r="X6" s="122"/>
      <c r="Y6" s="128" t="s">
        <v>52</v>
      </c>
      <c r="Z6" s="129"/>
      <c r="AA6" s="129"/>
      <c r="AB6" s="129"/>
      <c r="AC6" s="130"/>
      <c r="AD6" s="132"/>
      <c r="AE6" s="33"/>
      <c r="AF6" s="33"/>
      <c r="AG6" s="33"/>
      <c r="AH6" s="42"/>
      <c r="AI6" s="33"/>
      <c r="AJ6" s="33"/>
      <c r="AK6" s="33"/>
      <c r="AL6" s="13"/>
      <c r="AM6" s="13"/>
      <c r="AN6" s="13"/>
      <c r="AO6" s="13"/>
      <c r="AP6" s="13"/>
      <c r="AQ6" s="13"/>
      <c r="AR6" s="13"/>
      <c r="AS6" s="13"/>
      <c r="AT6" s="13"/>
      <c r="AU6" s="71"/>
      <c r="AV6" s="133" t="s">
        <v>21</v>
      </c>
      <c r="AW6" s="134">
        <v>0</v>
      </c>
      <c r="AX6" s="124"/>
      <c r="AY6" s="124"/>
      <c r="AZ6" s="124"/>
      <c r="BA6" s="124"/>
      <c r="BB6" s="21"/>
      <c r="BC6" s="21"/>
      <c r="BD6" s="33"/>
      <c r="BE6" s="33"/>
    </row>
    <row r="7" spans="1:57">
      <c r="A7" s="72" t="s">
        <v>17</v>
      </c>
      <c r="B7" s="70"/>
      <c r="C7" s="70"/>
      <c r="D7" s="70"/>
      <c r="E7" s="70"/>
      <c r="F7" s="70"/>
      <c r="G7" s="71"/>
      <c r="I7" s="11"/>
      <c r="J7" s="43"/>
      <c r="R7" s="135" t="s">
        <v>27</v>
      </c>
      <c r="S7" s="136" t="s">
        <v>53</v>
      </c>
      <c r="T7" s="136" t="s">
        <v>54</v>
      </c>
      <c r="U7" s="137" t="s">
        <v>55</v>
      </c>
      <c r="V7" s="136" t="s">
        <v>38</v>
      </c>
      <c r="W7" s="137" t="s">
        <v>56</v>
      </c>
      <c r="X7" s="122"/>
      <c r="Y7" s="135" t="s">
        <v>27</v>
      </c>
      <c r="Z7" s="136" t="s">
        <v>53</v>
      </c>
      <c r="AA7" s="136" t="s">
        <v>54</v>
      </c>
      <c r="AB7" s="137" t="s">
        <v>55</v>
      </c>
      <c r="AC7" s="136" t="s">
        <v>38</v>
      </c>
      <c r="AD7" s="137" t="s">
        <v>56</v>
      </c>
      <c r="AE7" s="33"/>
      <c r="AF7" s="33"/>
      <c r="AG7" s="33"/>
      <c r="AH7" s="42"/>
      <c r="AI7" s="33"/>
      <c r="AJ7" s="33"/>
      <c r="AK7" s="33"/>
      <c r="AL7" s="13"/>
      <c r="AM7" s="13"/>
      <c r="AN7" s="13"/>
      <c r="AO7" s="13"/>
      <c r="AP7" s="13"/>
      <c r="AQ7" s="13"/>
      <c r="AR7" s="13"/>
      <c r="AS7" s="13"/>
      <c r="AT7" s="13"/>
      <c r="AU7" s="71"/>
      <c r="AV7" s="133" t="s">
        <v>22</v>
      </c>
      <c r="AW7" s="134">
        <v>0</v>
      </c>
      <c r="AX7" s="124"/>
      <c r="AY7" s="124"/>
      <c r="AZ7" s="124"/>
      <c r="BA7" s="124"/>
      <c r="BB7" s="21"/>
      <c r="BD7" s="33"/>
      <c r="BE7" s="138"/>
    </row>
    <row r="8" spans="1:57">
      <c r="A8" s="10" t="s">
        <v>37</v>
      </c>
      <c r="B8" s="70"/>
      <c r="C8" s="70"/>
      <c r="D8" s="70"/>
      <c r="E8" s="70"/>
      <c r="F8" s="70"/>
      <c r="I8" s="11"/>
      <c r="J8" s="43"/>
      <c r="R8" s="139">
        <v>1</v>
      </c>
      <c r="S8" s="140">
        <v>0.1221</v>
      </c>
      <c r="T8" s="141">
        <v>0</v>
      </c>
      <c r="U8" s="141">
        <f t="shared" ref="U8:U54" si="0" xml:space="preserve"> -3.1498*$S8^2 + 4.3329*$S8 - 0.4815</f>
        <v>5.8858018200008688E-4</v>
      </c>
      <c r="V8" s="142">
        <v>2</v>
      </c>
      <c r="W8" s="141">
        <f t="shared" ref="W8:W54" si="1" xml:space="preserve"> 22186*$S8^5 - 23334*$S8^4 + 9750*$S8^3 - 1967.2*$S8^2 + 199.24*$S8 - 6.1723</f>
        <v>1.9910226676273659</v>
      </c>
      <c r="X8" s="122"/>
      <c r="Y8" s="139">
        <v>1</v>
      </c>
      <c r="Z8" s="140">
        <v>0.1321</v>
      </c>
      <c r="AA8" s="141">
        <v>0</v>
      </c>
      <c r="AB8" s="141">
        <f t="shared" ref="AB8:AB52" si="2" xml:space="preserve"> -2.6826*$Z8^2 + 4.1432*$Z8 - 0.5019</f>
        <v>-1.3957498659999956E-3</v>
      </c>
      <c r="AC8" s="142">
        <v>2</v>
      </c>
      <c r="AD8" s="141">
        <f t="shared" ref="AD8:AD52" si="3" xml:space="preserve"> 5548.1*$Z8^5 - 5093.6*$Z8^4 + 1984.4*$Z8^3 - 365.88*$Z8^2 + 38.796*$Z8 + 0.0321</f>
        <v>2.0188275756614713</v>
      </c>
      <c r="AE8" s="143"/>
      <c r="AF8" s="143"/>
      <c r="AG8" s="143"/>
      <c r="AH8" s="42"/>
      <c r="AI8" s="33"/>
      <c r="AJ8" s="33"/>
      <c r="AK8" s="33"/>
      <c r="AL8" s="13"/>
      <c r="AM8" s="13"/>
      <c r="AN8" s="13"/>
      <c r="AO8" s="13"/>
      <c r="AP8" s="13"/>
      <c r="AQ8" s="13"/>
      <c r="AR8" s="13"/>
      <c r="AS8" s="13"/>
      <c r="AT8" s="13"/>
      <c r="AU8" s="71"/>
      <c r="AV8" s="144" t="s">
        <v>57</v>
      </c>
      <c r="AW8" s="143">
        <f>$C$32/2</f>
        <v>4.6542864612572936</v>
      </c>
      <c r="AX8" s="143">
        <f>$C$32*SIN(PI()/180*45)/2</f>
        <v>3.2910775183397716</v>
      </c>
      <c r="AY8" s="143">
        <f>0</f>
        <v>0</v>
      </c>
      <c r="AZ8" s="143">
        <f>-$C$32*SIN(PI()/180*45)/2</f>
        <v>-3.2910775183397716</v>
      </c>
      <c r="BA8" s="143">
        <f>-$C$32/2</f>
        <v>-4.6542864612572936</v>
      </c>
      <c r="BB8" s="143">
        <f>-$C$32*SIN(PI()/180*45)/2</f>
        <v>-3.2910775183397716</v>
      </c>
      <c r="BC8" s="143">
        <f>0</f>
        <v>0</v>
      </c>
      <c r="BD8" s="143">
        <f>$C$32*SIN(PI()/180*45)/2</f>
        <v>3.2910775183397716</v>
      </c>
      <c r="BE8" s="143">
        <f>$C$32/2</f>
        <v>4.6542864612572936</v>
      </c>
    </row>
    <row r="9" spans="1:57">
      <c r="A9" s="12"/>
      <c r="B9" s="19" t="s">
        <v>59</v>
      </c>
      <c r="C9" s="73">
        <v>8.6</v>
      </c>
      <c r="D9" s="30" t="s">
        <v>160</v>
      </c>
      <c r="E9" s="70"/>
      <c r="F9" s="70"/>
      <c r="I9" s="11"/>
      <c r="J9" s="43"/>
      <c r="L9" s="28" t="s">
        <v>4</v>
      </c>
      <c r="R9" s="145">
        <v>2</v>
      </c>
      <c r="S9" s="146">
        <v>0.125</v>
      </c>
      <c r="T9" s="147">
        <v>0.01</v>
      </c>
      <c r="U9" s="147">
        <f t="shared" si="0"/>
        <v>1.0896875000000084E-2</v>
      </c>
      <c r="V9" s="148">
        <v>2.02</v>
      </c>
      <c r="W9" s="147">
        <f t="shared" si="1"/>
        <v>2.0184543945312505</v>
      </c>
      <c r="X9" s="122"/>
      <c r="Y9" s="145">
        <v>2</v>
      </c>
      <c r="Z9" s="146">
        <v>0.13500000000000001</v>
      </c>
      <c r="AA9" s="147">
        <v>8.9999999999999993E-3</v>
      </c>
      <c r="AB9" s="147">
        <f t="shared" si="2"/>
        <v>8.5416150000000579E-3</v>
      </c>
      <c r="AC9" s="148">
        <v>2.04</v>
      </c>
      <c r="AD9" s="147">
        <f t="shared" si="3"/>
        <v>2.0407013856459368</v>
      </c>
      <c r="AE9" s="143"/>
      <c r="AF9" s="143"/>
      <c r="AG9" s="143"/>
      <c r="AH9" s="42"/>
      <c r="AI9" s="33"/>
      <c r="AJ9" s="33"/>
      <c r="AK9" s="33"/>
      <c r="AL9" s="13"/>
      <c r="AM9" s="13"/>
      <c r="AN9" s="13"/>
      <c r="AO9" s="13"/>
      <c r="AP9" s="13"/>
      <c r="AQ9" s="13"/>
      <c r="AR9" s="13"/>
      <c r="AS9" s="13"/>
      <c r="AT9" s="13"/>
      <c r="AU9" s="71"/>
      <c r="AV9" s="144" t="s">
        <v>58</v>
      </c>
      <c r="AW9" s="143">
        <f>0</f>
        <v>0</v>
      </c>
      <c r="AX9" s="143">
        <f>$C$32*COS(PI()/180*45)/2</f>
        <v>3.291077518339772</v>
      </c>
      <c r="AY9" s="143">
        <f>$C$32/2</f>
        <v>4.6542864612572936</v>
      </c>
      <c r="AZ9" s="143">
        <f>$C$32*COS(PI()/180*45)/2</f>
        <v>3.291077518339772</v>
      </c>
      <c r="BA9" s="143">
        <f>0</f>
        <v>0</v>
      </c>
      <c r="BB9" s="143">
        <f>-$C$32*COS(PI()/180*45)/2</f>
        <v>-3.291077518339772</v>
      </c>
      <c r="BC9" s="143">
        <f>-$C$32/2</f>
        <v>-4.6542864612572936</v>
      </c>
      <c r="BD9" s="143">
        <f>-$C$32*COS(PI()/180*45)/2</f>
        <v>-3.291077518339772</v>
      </c>
      <c r="BE9" s="143">
        <f>0</f>
        <v>0</v>
      </c>
    </row>
    <row r="10" spans="1:57">
      <c r="A10" s="12"/>
      <c r="B10" s="48" t="s">
        <v>61</v>
      </c>
      <c r="C10" s="74">
        <v>0.7</v>
      </c>
      <c r="D10" s="30" t="s">
        <v>160</v>
      </c>
      <c r="E10" s="11"/>
      <c r="G10" s="11"/>
      <c r="H10" s="11"/>
      <c r="I10" s="11"/>
      <c r="J10" s="43"/>
      <c r="L10" s="37" t="s">
        <v>24</v>
      </c>
      <c r="Q10" s="23"/>
      <c r="R10" s="145">
        <v>3</v>
      </c>
      <c r="S10" s="146">
        <v>0.13</v>
      </c>
      <c r="T10" s="147">
        <v>2.8000000000000001E-2</v>
      </c>
      <c r="U10" s="147">
        <f t="shared" si="0"/>
        <v>2.8545380000000009E-2</v>
      </c>
      <c r="V10" s="148">
        <v>2.06</v>
      </c>
      <c r="W10" s="147">
        <f t="shared" si="1"/>
        <v>2.0632969097999947</v>
      </c>
      <c r="X10" s="122"/>
      <c r="Y10" s="145">
        <v>3</v>
      </c>
      <c r="Z10" s="146">
        <v>0.14000000000000001</v>
      </c>
      <c r="AA10" s="147">
        <v>2.5000000000000001E-2</v>
      </c>
      <c r="AB10" s="147">
        <f t="shared" si="2"/>
        <v>2.5569040000000154E-2</v>
      </c>
      <c r="AC10" s="148">
        <v>2.08</v>
      </c>
      <c r="AD10" s="147">
        <f t="shared" si="3"/>
        <v>2.0791183574399996</v>
      </c>
      <c r="AE10" s="143"/>
      <c r="AF10" s="143"/>
      <c r="AG10" s="143"/>
      <c r="AH10" s="42"/>
      <c r="AI10" s="33"/>
      <c r="AJ10" s="33"/>
      <c r="AK10" s="33"/>
      <c r="AL10" s="13"/>
      <c r="AM10" s="13"/>
      <c r="AN10" s="13"/>
      <c r="AO10" s="13"/>
      <c r="AP10" s="13"/>
      <c r="AQ10" s="13"/>
      <c r="AR10" s="13"/>
      <c r="AS10" s="13"/>
      <c r="AT10" s="13"/>
      <c r="AU10" s="71"/>
      <c r="AV10" s="144" t="s">
        <v>60</v>
      </c>
      <c r="AW10" s="143">
        <f>$C$40/2</f>
        <v>4.6542864612572936</v>
      </c>
      <c r="AX10" s="143">
        <f>$C$40*SIN(PI()/180*45)/2</f>
        <v>3.2910775183397716</v>
      </c>
      <c r="AY10" s="143">
        <f>0</f>
        <v>0</v>
      </c>
      <c r="AZ10" s="143">
        <f>-$C$40*SIN(PI()/180*45)/2</f>
        <v>-3.2910775183397716</v>
      </c>
      <c r="BA10" s="143">
        <f>-$C$40/2</f>
        <v>-4.6542864612572936</v>
      </c>
      <c r="BB10" s="143">
        <f>-$C$40*SIN(PI()/180*45)/2</f>
        <v>-3.2910775183397716</v>
      </c>
      <c r="BC10" s="143">
        <f>0</f>
        <v>0</v>
      </c>
      <c r="BD10" s="143">
        <f>$C$40*SIN(PI()/180*45)/2</f>
        <v>3.2910775183397716</v>
      </c>
      <c r="BE10" s="143">
        <f>$C$40/2</f>
        <v>4.6542864612572936</v>
      </c>
    </row>
    <row r="11" spans="1:57">
      <c r="A11" s="12"/>
      <c r="B11" s="19" t="s">
        <v>63</v>
      </c>
      <c r="C11" s="74">
        <v>8.6</v>
      </c>
      <c r="D11" s="75" t="s">
        <v>160</v>
      </c>
      <c r="G11" s="11"/>
      <c r="H11" s="11"/>
      <c r="J11" s="43"/>
      <c r="L11" s="25" t="s">
        <v>133</v>
      </c>
      <c r="M11" s="40">
        <f>$C$60</f>
        <v>9.8967932423047369</v>
      </c>
      <c r="Q11" s="23"/>
      <c r="R11" s="145">
        <v>4</v>
      </c>
      <c r="S11" s="146">
        <v>0.13500000000000001</v>
      </c>
      <c r="T11" s="147">
        <v>4.4999999999999998E-2</v>
      </c>
      <c r="U11" s="147">
        <f t="shared" si="0"/>
        <v>4.6036395000000174E-2</v>
      </c>
      <c r="V11" s="148">
        <v>2.1</v>
      </c>
      <c r="W11" s="147">
        <f t="shared" si="1"/>
        <v>2.1059612246937505</v>
      </c>
      <c r="X11" s="122"/>
      <c r="Y11" s="145">
        <v>4</v>
      </c>
      <c r="Z11" s="146">
        <v>0.14500000000000002</v>
      </c>
      <c r="AA11" s="147">
        <v>4.1000000000000002E-2</v>
      </c>
      <c r="AB11" s="147">
        <f t="shared" si="2"/>
        <v>4.2462335000000073E-2</v>
      </c>
      <c r="AC11" s="148">
        <v>2.13</v>
      </c>
      <c r="AD11" s="147">
        <f t="shared" si="3"/>
        <v>2.1185738420215623</v>
      </c>
      <c r="AE11" s="143"/>
      <c r="AF11" s="143"/>
      <c r="AG11" s="143"/>
      <c r="AH11" s="42"/>
      <c r="AI11" s="33"/>
      <c r="AJ11" s="33"/>
      <c r="AK11" s="33"/>
      <c r="AL11" s="13"/>
      <c r="AM11" s="13"/>
      <c r="AN11" s="13"/>
      <c r="AO11" s="13"/>
      <c r="AP11" s="13"/>
      <c r="AQ11" s="13"/>
      <c r="AR11" s="13"/>
      <c r="AS11" s="13"/>
      <c r="AT11" s="13"/>
      <c r="AU11" s="71"/>
      <c r="AV11" s="144" t="s">
        <v>62</v>
      </c>
      <c r="AW11" s="143">
        <f>0</f>
        <v>0</v>
      </c>
      <c r="AX11" s="143">
        <f>$C$40*COS(PI()/180*45)/2</f>
        <v>3.291077518339772</v>
      </c>
      <c r="AY11" s="143">
        <f>$C$40/2</f>
        <v>4.6542864612572936</v>
      </c>
      <c r="AZ11" s="143">
        <f>$C$40*COS(PI()/180*45)/2</f>
        <v>3.291077518339772</v>
      </c>
      <c r="BA11" s="143">
        <f>0</f>
        <v>0</v>
      </c>
      <c r="BB11" s="143">
        <f>-$C$40*COS(PI()/180*45)/2</f>
        <v>-3.291077518339772</v>
      </c>
      <c r="BC11" s="143">
        <f>-$C$40/2</f>
        <v>-4.6542864612572936</v>
      </c>
      <c r="BD11" s="143">
        <f>-$C$40*COS(PI()/180*45)/2</f>
        <v>-3.291077518339772</v>
      </c>
      <c r="BE11" s="143">
        <f>0</f>
        <v>0</v>
      </c>
    </row>
    <row r="12" spans="1:57">
      <c r="A12" s="12"/>
      <c r="B12" s="48" t="s">
        <v>65</v>
      </c>
      <c r="C12" s="74">
        <v>0.5</v>
      </c>
      <c r="D12" s="75" t="s">
        <v>160</v>
      </c>
      <c r="G12" s="76"/>
      <c r="H12" s="11"/>
      <c r="I12" s="11"/>
      <c r="J12" s="43"/>
      <c r="L12" s="37" t="s">
        <v>3</v>
      </c>
      <c r="Q12" s="23"/>
      <c r="R12" s="145">
        <v>5</v>
      </c>
      <c r="S12" s="146">
        <v>0.14000000000000001</v>
      </c>
      <c r="T12" s="147">
        <v>6.3E-2</v>
      </c>
      <c r="U12" s="147">
        <f t="shared" si="0"/>
        <v>6.3369920000000135E-2</v>
      </c>
      <c r="V12" s="148">
        <v>2.14</v>
      </c>
      <c r="W12" s="147">
        <f t="shared" si="1"/>
        <v>2.1474068864000024</v>
      </c>
      <c r="X12" s="122"/>
      <c r="Y12" s="145">
        <v>5</v>
      </c>
      <c r="Z12" s="146">
        <v>0.15000000000000002</v>
      </c>
      <c r="AA12" s="147">
        <v>5.8999999999999997E-2</v>
      </c>
      <c r="AB12" s="147">
        <f t="shared" si="2"/>
        <v>5.9221500000000149E-2</v>
      </c>
      <c r="AC12" s="148">
        <v>2.1800000000000002</v>
      </c>
      <c r="AD12" s="147">
        <f t="shared" si="3"/>
        <v>2.1592238437499995</v>
      </c>
      <c r="AE12" s="33"/>
      <c r="AF12" s="33"/>
      <c r="AG12" s="42"/>
      <c r="AH12" s="42"/>
      <c r="AI12" s="33"/>
      <c r="AJ12" s="33"/>
      <c r="AK12" s="33"/>
      <c r="AL12" s="13"/>
      <c r="AM12" s="13"/>
      <c r="AN12" s="13"/>
      <c r="AO12" s="13"/>
      <c r="AP12" s="13"/>
      <c r="AQ12" s="13"/>
      <c r="AR12" s="13"/>
      <c r="AS12" s="13"/>
      <c r="AT12" s="13"/>
      <c r="AU12" s="71"/>
      <c r="AV12" s="133" t="s">
        <v>64</v>
      </c>
      <c r="AW12" s="143">
        <f>$C$53</f>
        <v>0.43448417024812253</v>
      </c>
      <c r="AX12" s="143"/>
      <c r="AY12" s="143"/>
      <c r="AZ12" s="143"/>
      <c r="BA12" s="143"/>
      <c r="BB12" s="143"/>
      <c r="BC12" s="143"/>
      <c r="BD12" s="149"/>
      <c r="BE12" s="143"/>
    </row>
    <row r="13" spans="1:57">
      <c r="A13" s="12"/>
      <c r="B13" s="77" t="s">
        <v>23</v>
      </c>
      <c r="C13" s="74">
        <v>24</v>
      </c>
      <c r="D13" s="78" t="s">
        <v>165</v>
      </c>
      <c r="J13" s="43"/>
      <c r="L13" s="25" t="s">
        <v>139</v>
      </c>
      <c r="M13" s="40">
        <f>$C$65</f>
        <v>4.521292859629785</v>
      </c>
      <c r="Q13" s="23"/>
      <c r="R13" s="145">
        <v>6</v>
      </c>
      <c r="S13" s="146">
        <v>0.14500000000000002</v>
      </c>
      <c r="T13" s="147">
        <v>7.9000000000000001E-2</v>
      </c>
      <c r="U13" s="147">
        <f t="shared" si="0"/>
        <v>8.0545955000000224E-2</v>
      </c>
      <c r="V13" s="148">
        <v>2.1800000000000002</v>
      </c>
      <c r="W13" s="147">
        <f t="shared" si="1"/>
        <v>2.1884680653562434</v>
      </c>
      <c r="X13" s="122"/>
      <c r="Y13" s="145">
        <v>6</v>
      </c>
      <c r="Z13" s="146">
        <v>0.15500000000000003</v>
      </c>
      <c r="AA13" s="147">
        <v>7.3999999999999996E-2</v>
      </c>
      <c r="AB13" s="147">
        <f t="shared" si="2"/>
        <v>7.5846535000000048E-2</v>
      </c>
      <c r="AC13" s="148">
        <v>2.21</v>
      </c>
      <c r="AD13" s="147">
        <f t="shared" si="3"/>
        <v>2.2012082985721877</v>
      </c>
      <c r="AE13" s="33"/>
      <c r="AF13" s="33"/>
      <c r="AG13" s="42"/>
      <c r="AH13" s="42"/>
      <c r="AI13" s="33"/>
      <c r="AJ13" s="33"/>
      <c r="AK13" s="33"/>
      <c r="AL13" s="13"/>
      <c r="AM13" s="13"/>
      <c r="AN13" s="13"/>
      <c r="AO13" s="13"/>
      <c r="AP13" s="13"/>
      <c r="AQ13" s="13"/>
      <c r="AR13" s="13"/>
      <c r="AS13" s="13"/>
      <c r="AT13" s="13"/>
      <c r="AU13" s="71"/>
      <c r="AV13" s="133" t="s">
        <v>66</v>
      </c>
      <c r="AW13" s="143">
        <f>0</f>
        <v>0</v>
      </c>
      <c r="AX13" s="71"/>
      <c r="AY13" s="71"/>
      <c r="AZ13" s="71"/>
      <c r="BB13" s="143"/>
      <c r="BC13" s="143"/>
      <c r="BD13" s="143"/>
      <c r="BE13" s="143"/>
    </row>
    <row r="14" spans="1:57">
      <c r="A14" s="12"/>
      <c r="B14" s="79" t="s">
        <v>67</v>
      </c>
      <c r="C14" s="74">
        <v>0</v>
      </c>
      <c r="D14" s="75" t="s">
        <v>160</v>
      </c>
      <c r="F14" s="11"/>
      <c r="J14" s="43"/>
      <c r="L14" s="38" t="s">
        <v>6</v>
      </c>
      <c r="Q14" s="23"/>
      <c r="R14" s="145">
        <v>7</v>
      </c>
      <c r="S14" s="146">
        <v>0.15000000000000002</v>
      </c>
      <c r="T14" s="147">
        <v>9.6000000000000002E-2</v>
      </c>
      <c r="U14" s="147">
        <f t="shared" si="0"/>
        <v>9.7564500000000109E-2</v>
      </c>
      <c r="V14" s="148">
        <v>2.23</v>
      </c>
      <c r="W14" s="147">
        <f t="shared" si="1"/>
        <v>2.229861875000001</v>
      </c>
      <c r="X14" s="122"/>
      <c r="Y14" s="145">
        <v>7</v>
      </c>
      <c r="Z14" s="146">
        <v>0.16000000000000003</v>
      </c>
      <c r="AA14" s="147">
        <v>0.09</v>
      </c>
      <c r="AB14" s="147">
        <f t="shared" si="2"/>
        <v>9.2337440000000104E-2</v>
      </c>
      <c r="AC14" s="148">
        <v>2.25</v>
      </c>
      <c r="AD14" s="147">
        <f t="shared" si="3"/>
        <v>2.244653154559999</v>
      </c>
      <c r="AE14" s="33"/>
      <c r="AF14" s="33"/>
      <c r="AG14" s="42"/>
      <c r="AH14" s="42"/>
      <c r="AI14" s="33"/>
      <c r="AJ14" s="33"/>
      <c r="AK14" s="33"/>
      <c r="AL14" s="13"/>
      <c r="AM14" s="13"/>
      <c r="AN14" s="13"/>
      <c r="AO14" s="13"/>
      <c r="AP14" s="13"/>
      <c r="AQ14" s="13"/>
      <c r="AR14" s="13"/>
      <c r="AS14" s="13"/>
      <c r="AT14" s="13"/>
      <c r="AU14" s="71"/>
      <c r="AV14" s="133" t="s">
        <v>8</v>
      </c>
      <c r="AW14" s="143">
        <v>0</v>
      </c>
      <c r="AX14" s="143">
        <f>0.1221*$C$9</f>
        <v>1.05006</v>
      </c>
      <c r="AY14" s="143">
        <v>0</v>
      </c>
      <c r="AZ14" s="143">
        <f>-0.1221*$C$9</f>
        <v>-1.05006</v>
      </c>
      <c r="BA14" s="143">
        <v>0</v>
      </c>
      <c r="BB14" s="143"/>
      <c r="BC14" s="143"/>
      <c r="BD14" s="143"/>
      <c r="BE14" s="143"/>
    </row>
    <row r="15" spans="1:57">
      <c r="A15" s="12"/>
      <c r="B15" s="80" t="s">
        <v>19</v>
      </c>
      <c r="C15" s="74">
        <v>18</v>
      </c>
      <c r="D15" s="78" t="s">
        <v>165</v>
      </c>
      <c r="E15" s="11"/>
      <c r="F15" s="11"/>
      <c r="J15" s="43"/>
      <c r="L15" s="9" t="s">
        <v>35</v>
      </c>
      <c r="M15" s="49">
        <f>IF($C$73&gt;=$C$83,$C$71,$C$81)</f>
        <v>100</v>
      </c>
      <c r="N15" s="20" t="s">
        <v>26</v>
      </c>
      <c r="Q15" s="23"/>
      <c r="R15" s="145">
        <v>8</v>
      </c>
      <c r="S15" s="146">
        <v>0.15500000000000003</v>
      </c>
      <c r="T15" s="147">
        <v>0.114</v>
      </c>
      <c r="U15" s="147">
        <f t="shared" si="0"/>
        <v>0.11442555500000012</v>
      </c>
      <c r="V15" s="148">
        <v>2.2799999999999998</v>
      </c>
      <c r="W15" s="147">
        <f t="shared" si="1"/>
        <v>2.2721966915187544</v>
      </c>
      <c r="X15" s="122"/>
      <c r="Y15" s="145">
        <v>8</v>
      </c>
      <c r="Z15" s="146">
        <v>0.16500000000000004</v>
      </c>
      <c r="AA15" s="147">
        <v>0.106</v>
      </c>
      <c r="AB15" s="147">
        <f t="shared" si="2"/>
        <v>0.1086942150000002</v>
      </c>
      <c r="AC15" s="148">
        <v>2.2999999999999998</v>
      </c>
      <c r="AD15" s="147">
        <f t="shared" si="3"/>
        <v>2.2896724524478138</v>
      </c>
      <c r="AE15" s="33"/>
      <c r="AF15" s="33"/>
      <c r="AG15" s="42"/>
      <c r="AH15" s="42"/>
      <c r="AI15" s="33"/>
      <c r="AJ15" s="33"/>
      <c r="AK15" s="33"/>
      <c r="AL15" s="13"/>
      <c r="AM15" s="13"/>
      <c r="AN15" s="13"/>
      <c r="AO15" s="13"/>
      <c r="AP15" s="13"/>
      <c r="AQ15" s="13"/>
      <c r="AR15" s="13"/>
      <c r="AS15" s="13"/>
      <c r="AT15" s="13"/>
      <c r="AU15" s="71"/>
      <c r="AV15" s="133" t="s">
        <v>9</v>
      </c>
      <c r="AW15" s="143">
        <f>0.1221*$C$9</f>
        <v>1.05006</v>
      </c>
      <c r="AX15" s="143">
        <v>0</v>
      </c>
      <c r="AY15" s="143">
        <f>-0.1221*$C$9</f>
        <v>-1.05006</v>
      </c>
      <c r="AZ15" s="143">
        <v>0</v>
      </c>
      <c r="BA15" s="143">
        <f>0.1221*$C$9</f>
        <v>1.05006</v>
      </c>
      <c r="BB15" s="143"/>
      <c r="BC15" s="143"/>
      <c r="BD15" s="143"/>
      <c r="BE15" s="143"/>
    </row>
    <row r="16" spans="1:57">
      <c r="A16" s="12"/>
      <c r="B16" s="81" t="s">
        <v>2</v>
      </c>
      <c r="C16" s="74">
        <v>0</v>
      </c>
      <c r="D16" s="75"/>
      <c r="E16" s="11"/>
      <c r="F16" s="11"/>
      <c r="G16" s="11"/>
      <c r="H16" s="11"/>
      <c r="I16" s="11"/>
      <c r="J16" s="43"/>
      <c r="L16" s="18" t="s">
        <v>148</v>
      </c>
      <c r="Q16" s="23"/>
      <c r="R16" s="145">
        <v>9</v>
      </c>
      <c r="S16" s="146">
        <v>0.16000000000000003</v>
      </c>
      <c r="T16" s="147">
        <v>0.13</v>
      </c>
      <c r="U16" s="147">
        <f t="shared" si="0"/>
        <v>0.13112912000000015</v>
      </c>
      <c r="V16" s="148">
        <v>2.3199999999999998</v>
      </c>
      <c r="W16" s="147">
        <f t="shared" si="1"/>
        <v>2.3159804735999927</v>
      </c>
      <c r="X16" s="122"/>
      <c r="Y16" s="145">
        <v>9</v>
      </c>
      <c r="Z16" s="146">
        <v>0.17000000000000004</v>
      </c>
      <c r="AA16" s="147">
        <v>0.124</v>
      </c>
      <c r="AB16" s="147">
        <f t="shared" si="2"/>
        <v>0.12491686000000013</v>
      </c>
      <c r="AC16" s="148">
        <v>2.33</v>
      </c>
      <c r="AD16" s="147">
        <f t="shared" si="3"/>
        <v>2.3363704061700021</v>
      </c>
      <c r="AE16" s="33"/>
      <c r="AF16" s="33"/>
      <c r="AG16" s="42"/>
      <c r="AH16" s="42"/>
      <c r="AI16" s="33"/>
      <c r="AJ16" s="33"/>
      <c r="AK16" s="33"/>
      <c r="AL16" s="13"/>
      <c r="AM16" s="13"/>
      <c r="AN16" s="13"/>
      <c r="AO16" s="13"/>
      <c r="AP16" s="13"/>
      <c r="AQ16" s="13"/>
      <c r="AR16" s="13"/>
      <c r="AS16" s="13"/>
      <c r="AT16" s="13"/>
      <c r="AU16" s="71"/>
      <c r="AV16" s="133" t="s">
        <v>31</v>
      </c>
      <c r="AW16" s="150">
        <f>$O$4/2</f>
        <v>4.3999999999999995</v>
      </c>
      <c r="AX16" s="151">
        <f>$P$4/2</f>
        <v>4.3999999999999995</v>
      </c>
      <c r="AY16" s="143"/>
      <c r="AZ16" s="143"/>
      <c r="BA16" s="143"/>
      <c r="BB16" s="143"/>
      <c r="BC16" s="143"/>
      <c r="BD16" s="143"/>
      <c r="BE16" s="143"/>
    </row>
    <row r="17" spans="1:57">
      <c r="A17" s="12"/>
      <c r="B17" s="81" t="s">
        <v>41</v>
      </c>
      <c r="C17" s="74">
        <v>0.4</v>
      </c>
      <c r="D17" s="75"/>
      <c r="E17" s="82"/>
      <c r="J17" s="43"/>
      <c r="L17" s="25" t="s">
        <v>149</v>
      </c>
      <c r="M17" s="40">
        <f>MAX($C$73,$C$83)</f>
        <v>113.74360291958675</v>
      </c>
      <c r="N17" s="78" t="s">
        <v>161</v>
      </c>
      <c r="Q17" s="23"/>
      <c r="R17" s="145">
        <v>10</v>
      </c>
      <c r="S17" s="146">
        <v>0.16500000000000004</v>
      </c>
      <c r="T17" s="147">
        <v>0.14699999999999999</v>
      </c>
      <c r="U17" s="147">
        <f t="shared" si="0"/>
        <v>0.1476751950000002</v>
      </c>
      <c r="V17" s="148">
        <v>2.36</v>
      </c>
      <c r="W17" s="147">
        <f t="shared" si="1"/>
        <v>2.3616290821812456</v>
      </c>
      <c r="X17" s="122"/>
      <c r="Y17" s="145">
        <v>10</v>
      </c>
      <c r="Z17" s="146">
        <v>0.17500000000000004</v>
      </c>
      <c r="AA17" s="147">
        <v>0.14000000000000001</v>
      </c>
      <c r="AB17" s="147">
        <f t="shared" si="2"/>
        <v>0.14100537500000021</v>
      </c>
      <c r="AC17" s="148">
        <v>2.38</v>
      </c>
      <c r="AD17" s="147">
        <f t="shared" si="3"/>
        <v>2.3848434833984369</v>
      </c>
      <c r="AE17" s="33"/>
      <c r="AF17" s="33"/>
      <c r="AG17" s="42"/>
      <c r="AH17" s="42"/>
      <c r="AI17" s="33"/>
      <c r="AJ17" s="33"/>
      <c r="AK17" s="33"/>
      <c r="AL17" s="13"/>
      <c r="AM17" s="13"/>
      <c r="AN17" s="13"/>
      <c r="AO17" s="13"/>
      <c r="AP17" s="13"/>
      <c r="AQ17" s="13"/>
      <c r="AR17" s="13"/>
      <c r="AS17" s="13"/>
      <c r="AT17" s="13"/>
      <c r="AU17" s="71"/>
      <c r="AV17" s="133" t="s">
        <v>32</v>
      </c>
      <c r="AW17" s="150">
        <f>-$O$4/2</f>
        <v>-4.3999999999999995</v>
      </c>
      <c r="AX17" s="151">
        <f>$P$4/2</f>
        <v>4.3999999999999995</v>
      </c>
      <c r="AY17" s="143"/>
      <c r="AZ17" s="143"/>
      <c r="BA17" s="143"/>
      <c r="BB17" s="143"/>
      <c r="BC17" s="143"/>
      <c r="BD17" s="143"/>
      <c r="BE17" s="143"/>
    </row>
    <row r="18" spans="1:57">
      <c r="A18" s="12"/>
      <c r="B18" s="80" t="s">
        <v>20</v>
      </c>
      <c r="C18" s="74">
        <v>0</v>
      </c>
      <c r="D18" s="78" t="s">
        <v>161</v>
      </c>
      <c r="I18" s="33"/>
      <c r="J18" s="43"/>
      <c r="L18" s="18" t="s">
        <v>5</v>
      </c>
      <c r="Q18" s="23"/>
      <c r="R18" s="145">
        <v>11</v>
      </c>
      <c r="S18" s="146">
        <v>0.17000000000000004</v>
      </c>
      <c r="T18" s="147">
        <v>0.16400000000000001</v>
      </c>
      <c r="U18" s="147">
        <f t="shared" si="0"/>
        <v>0.16406378000000027</v>
      </c>
      <c r="V18" s="148">
        <v>2.4</v>
      </c>
      <c r="W18" s="147">
        <f t="shared" si="1"/>
        <v>2.4094746002000029</v>
      </c>
      <c r="X18" s="122"/>
      <c r="Y18" s="145">
        <v>11</v>
      </c>
      <c r="Z18" s="146">
        <v>0.18000000000000005</v>
      </c>
      <c r="AA18" s="147">
        <v>0.155</v>
      </c>
      <c r="AB18" s="147">
        <f t="shared" si="2"/>
        <v>0.15695976000000011</v>
      </c>
      <c r="AC18" s="148">
        <v>2.42</v>
      </c>
      <c r="AD18" s="147">
        <f t="shared" si="3"/>
        <v>2.4351824860799995</v>
      </c>
      <c r="AE18" s="33"/>
      <c r="AF18" s="33"/>
      <c r="AG18" s="42"/>
      <c r="AH18" s="42"/>
      <c r="AI18" s="33"/>
      <c r="AJ18" s="33"/>
      <c r="AK18" s="33"/>
      <c r="AL18" s="13"/>
      <c r="AM18" s="13"/>
      <c r="AN18" s="13"/>
      <c r="AO18" s="13"/>
      <c r="AP18" s="13"/>
      <c r="AQ18" s="13"/>
      <c r="AR18" s="13"/>
      <c r="AS18" s="13"/>
      <c r="AT18" s="13"/>
      <c r="AU18" s="71"/>
      <c r="AV18" s="133" t="s">
        <v>33</v>
      </c>
      <c r="AW18" s="150">
        <f>-$O$4/2</f>
        <v>-4.3999999999999995</v>
      </c>
      <c r="AX18" s="151">
        <f>-$P$4/2</f>
        <v>-4.3999999999999995</v>
      </c>
      <c r="AY18" s="143"/>
      <c r="AZ18" s="143"/>
      <c r="BA18" s="143"/>
      <c r="BB18" s="143"/>
      <c r="BC18" s="143"/>
      <c r="BD18" s="143"/>
      <c r="BE18" s="143"/>
    </row>
    <row r="19" spans="1:57" ht="15">
      <c r="A19" s="12"/>
      <c r="B19" s="179" t="s">
        <v>232</v>
      </c>
      <c r="C19" s="83">
        <v>150</v>
      </c>
      <c r="D19" s="78" t="s">
        <v>161</v>
      </c>
      <c r="F19" s="84"/>
      <c r="G19" s="85"/>
      <c r="H19" s="11"/>
      <c r="I19" s="11"/>
      <c r="J19" s="43"/>
      <c r="L19" s="25" t="s">
        <v>36</v>
      </c>
      <c r="M19" s="40">
        <f>MAX($C$75,$C$85)</f>
        <v>101.14360291958675</v>
      </c>
      <c r="N19" s="78" t="s">
        <v>161</v>
      </c>
      <c r="Q19" s="23"/>
      <c r="R19" s="145">
        <v>12</v>
      </c>
      <c r="S19" s="146">
        <v>0.17500000000000004</v>
      </c>
      <c r="T19" s="147">
        <v>0.18</v>
      </c>
      <c r="U19" s="147">
        <f t="shared" si="0"/>
        <v>0.18029487500000024</v>
      </c>
      <c r="V19" s="148">
        <v>2.44</v>
      </c>
      <c r="W19" s="147">
        <f t="shared" si="1"/>
        <v>2.4597736523437419</v>
      </c>
      <c r="X19" s="122"/>
      <c r="Y19" s="145">
        <v>12</v>
      </c>
      <c r="Z19" s="146">
        <v>0.18500000000000005</v>
      </c>
      <c r="AA19" s="147">
        <v>0.17499999999999999</v>
      </c>
      <c r="AB19" s="147">
        <f t="shared" si="2"/>
        <v>0.17278001500000018</v>
      </c>
      <c r="AC19" s="148">
        <v>2.46</v>
      </c>
      <c r="AD19" s="147">
        <f t="shared" si="3"/>
        <v>2.4874746309740647</v>
      </c>
      <c r="AE19" s="33"/>
      <c r="AF19" s="33"/>
      <c r="AG19" s="42"/>
      <c r="AH19" s="42"/>
      <c r="AI19" s="33"/>
      <c r="AJ19" s="33"/>
      <c r="AK19" s="33"/>
      <c r="AL19" s="13"/>
      <c r="AM19" s="13"/>
      <c r="AN19" s="13"/>
      <c r="AO19" s="13"/>
      <c r="AP19" s="13"/>
      <c r="AQ19" s="13"/>
      <c r="AR19" s="13"/>
      <c r="AS19" s="13"/>
      <c r="AT19" s="13"/>
      <c r="AU19" s="71"/>
      <c r="AV19" s="133" t="s">
        <v>34</v>
      </c>
      <c r="AW19" s="150">
        <f>$O$4/2</f>
        <v>4.3999999999999995</v>
      </c>
      <c r="AX19" s="151">
        <f>-$P$4/2</f>
        <v>-4.3999999999999995</v>
      </c>
      <c r="AY19" s="143"/>
      <c r="AZ19" s="143"/>
      <c r="BA19" s="143"/>
      <c r="BB19" s="143"/>
      <c r="BC19" s="143"/>
      <c r="BD19" s="143"/>
      <c r="BE19" s="143"/>
    </row>
    <row r="20" spans="1:57">
      <c r="A20" s="12"/>
      <c r="F20" s="85"/>
      <c r="G20" s="85"/>
      <c r="J20" s="43"/>
      <c r="R20" s="145">
        <v>13</v>
      </c>
      <c r="S20" s="146">
        <v>0.18000000000000005</v>
      </c>
      <c r="T20" s="147">
        <v>0.19800000000000001</v>
      </c>
      <c r="U20" s="147">
        <f t="shared" si="0"/>
        <v>0.19636848000000034</v>
      </c>
      <c r="V20" s="148">
        <v>2.5</v>
      </c>
      <c r="W20" s="147">
        <f t="shared" si="1"/>
        <v>2.5127157247999961</v>
      </c>
      <c r="X20" s="122"/>
      <c r="Y20" s="145">
        <v>13</v>
      </c>
      <c r="Z20" s="146">
        <v>0.19000000000000006</v>
      </c>
      <c r="AA20" s="147">
        <v>0.192</v>
      </c>
      <c r="AB20" s="147">
        <f t="shared" si="2"/>
        <v>0.18846614000000017</v>
      </c>
      <c r="AC20" s="148">
        <v>2.5299999999999998</v>
      </c>
      <c r="AD20" s="147">
        <f t="shared" si="3"/>
        <v>2.5418056301899998</v>
      </c>
      <c r="AE20" s="33"/>
      <c r="AF20" s="33"/>
      <c r="AG20" s="42"/>
      <c r="AH20" s="42"/>
      <c r="AI20" s="33"/>
      <c r="AJ20" s="33"/>
      <c r="AK20" s="33"/>
      <c r="AL20" s="13"/>
      <c r="AM20" s="13"/>
      <c r="AN20" s="13"/>
      <c r="AO20" s="13"/>
      <c r="AP20" s="13"/>
      <c r="AQ20" s="13"/>
      <c r="AR20" s="13"/>
      <c r="AS20" s="13"/>
      <c r="AT20" s="13"/>
      <c r="AU20" s="13"/>
      <c r="AV20" s="13"/>
      <c r="AW20" s="13"/>
      <c r="AX20" s="13"/>
      <c r="AY20" s="13"/>
      <c r="AZ20" s="13"/>
      <c r="BA20" s="13"/>
      <c r="BB20" s="13"/>
      <c r="BC20" s="13"/>
    </row>
    <row r="21" spans="1:57">
      <c r="A21" s="10" t="s">
        <v>68</v>
      </c>
      <c r="F21" s="85"/>
      <c r="G21" s="85"/>
      <c r="H21" s="85"/>
      <c r="I21" s="85"/>
      <c r="J21" s="86"/>
      <c r="R21" s="145">
        <v>14</v>
      </c>
      <c r="S21" s="146">
        <v>0.18500000000000005</v>
      </c>
      <c r="T21" s="147">
        <v>0.216</v>
      </c>
      <c r="U21" s="147">
        <f t="shared" si="0"/>
        <v>0.21228459500000024</v>
      </c>
      <c r="V21" s="148">
        <v>2.58</v>
      </c>
      <c r="W21" s="147">
        <f t="shared" si="1"/>
        <v>2.5684314850062506</v>
      </c>
      <c r="X21" s="122"/>
      <c r="Y21" s="145">
        <v>14</v>
      </c>
      <c r="Z21" s="146">
        <v>0.19500000000000006</v>
      </c>
      <c r="AA21" s="147">
        <v>0.20799999999999999</v>
      </c>
      <c r="AB21" s="147">
        <f t="shared" si="2"/>
        <v>0.20401813500000021</v>
      </c>
      <c r="AC21" s="148">
        <v>2.6</v>
      </c>
      <c r="AD21" s="147">
        <f t="shared" si="3"/>
        <v>2.5982617717246894</v>
      </c>
      <c r="AE21" s="33"/>
      <c r="AF21" s="33"/>
      <c r="AG21" s="42"/>
      <c r="AH21" s="42"/>
      <c r="AI21" s="33"/>
      <c r="AJ21" s="33"/>
      <c r="AK21" s="33"/>
      <c r="AL21" s="13"/>
      <c r="AM21" s="13"/>
      <c r="AN21" s="13"/>
      <c r="AO21" s="13"/>
      <c r="AP21" s="13"/>
      <c r="AQ21" s="13"/>
      <c r="AR21" s="13"/>
      <c r="AS21" s="13"/>
      <c r="AT21" s="13"/>
      <c r="AU21" s="13"/>
      <c r="AV21" s="13"/>
      <c r="AW21" s="13"/>
      <c r="AX21" s="13"/>
      <c r="AY21" s="13"/>
      <c r="AZ21" s="13"/>
      <c r="BA21" s="13"/>
      <c r="BB21" s="13"/>
      <c r="BC21" s="13"/>
    </row>
    <row r="22" spans="1:57" ht="13.8">
      <c r="A22" s="12"/>
      <c r="B22" s="48" t="s">
        <v>69</v>
      </c>
      <c r="C22" s="73">
        <v>3164.75</v>
      </c>
      <c r="D22" s="20" t="s">
        <v>166</v>
      </c>
      <c r="F22" s="85"/>
      <c r="G22" s="85"/>
      <c r="H22" s="85"/>
      <c r="I22" s="85"/>
      <c r="J22" s="86"/>
      <c r="L22" s="181" t="s">
        <v>233</v>
      </c>
      <c r="M22" s="182">
        <f>+MAX(M23:M25)</f>
        <v>0.22117567497759535</v>
      </c>
      <c r="N22" s="182" t="str">
        <f>+IF(M22&gt;1,"NG","OK")</f>
        <v>OK</v>
      </c>
      <c r="R22" s="145">
        <v>15</v>
      </c>
      <c r="S22" s="146">
        <v>0.19000000000000006</v>
      </c>
      <c r="T22" s="147">
        <v>0.23300000000000001</v>
      </c>
      <c r="U22" s="147">
        <f t="shared" si="0"/>
        <v>0.22804322000000027</v>
      </c>
      <c r="V22" s="148">
        <v>2.63</v>
      </c>
      <c r="W22" s="147">
        <f t="shared" si="1"/>
        <v>2.6270011013999977</v>
      </c>
      <c r="X22" s="122"/>
      <c r="Y22" s="145">
        <v>15</v>
      </c>
      <c r="Z22" s="146">
        <v>0.20000000000000007</v>
      </c>
      <c r="AA22" s="147">
        <v>0.222</v>
      </c>
      <c r="AB22" s="147">
        <f t="shared" si="2"/>
        <v>0.21943600000000019</v>
      </c>
      <c r="AC22" s="148">
        <v>2.65</v>
      </c>
      <c r="AD22" s="147">
        <f t="shared" si="3"/>
        <v>2.6569320000000038</v>
      </c>
      <c r="AE22" s="33"/>
      <c r="AF22" s="33"/>
      <c r="AG22" s="42"/>
      <c r="AH22" s="42"/>
      <c r="AI22" s="33"/>
      <c r="AJ22" s="33"/>
      <c r="AK22" s="33"/>
      <c r="AL22" s="13"/>
      <c r="AM22" s="13"/>
      <c r="AN22" s="13"/>
      <c r="AO22" s="13"/>
      <c r="AP22" s="13"/>
      <c r="AQ22" s="13"/>
      <c r="AR22" s="13"/>
      <c r="AS22" s="13"/>
      <c r="AT22" s="13"/>
      <c r="AU22" s="13"/>
      <c r="AV22" s="13"/>
      <c r="AW22" s="13"/>
      <c r="AX22" s="13"/>
      <c r="AY22" s="13"/>
      <c r="AZ22" s="13"/>
      <c r="BA22" s="13"/>
      <c r="BB22" s="13"/>
      <c r="BC22" s="13"/>
    </row>
    <row r="23" spans="1:57" ht="13.8">
      <c r="A23" s="12"/>
      <c r="B23" s="48" t="s">
        <v>70</v>
      </c>
      <c r="C23" s="173">
        <v>436.1</v>
      </c>
      <c r="D23" s="20" t="s">
        <v>166</v>
      </c>
      <c r="I23" s="11"/>
      <c r="J23" s="87"/>
      <c r="L23" s="181" t="s">
        <v>0</v>
      </c>
      <c r="M23" s="182">
        <f>+MAX('Loading Data'!AE:AE)</f>
        <v>0.10104283029026105</v>
      </c>
      <c r="N23" s="182" t="str">
        <f t="shared" ref="N23:N24" si="4">+IF(M23&gt;1,"NG","OK")</f>
        <v>OK</v>
      </c>
      <c r="R23" s="145">
        <v>16</v>
      </c>
      <c r="S23" s="146">
        <v>0.19500000000000006</v>
      </c>
      <c r="T23" s="147">
        <v>0.248</v>
      </c>
      <c r="U23" s="147">
        <f t="shared" si="0"/>
        <v>0.24364435500000031</v>
      </c>
      <c r="V23" s="148">
        <v>2.71</v>
      </c>
      <c r="W23" s="147">
        <f t="shared" si="1"/>
        <v>2.6884625631687484</v>
      </c>
      <c r="X23" s="122"/>
      <c r="Y23" s="145">
        <v>16</v>
      </c>
      <c r="Z23" s="146">
        <v>0.20500000000000007</v>
      </c>
      <c r="AA23" s="147">
        <v>0.23799999999999999</v>
      </c>
      <c r="AB23" s="147">
        <f t="shared" si="2"/>
        <v>0.23471973500000021</v>
      </c>
      <c r="AC23" s="148">
        <v>2.73</v>
      </c>
      <c r="AD23" s="147">
        <f t="shared" si="3"/>
        <v>2.7179099964003131</v>
      </c>
      <c r="AE23" s="33"/>
      <c r="AF23" s="33"/>
      <c r="AG23" s="42"/>
      <c r="AH23" s="42"/>
      <c r="AI23" s="33"/>
      <c r="AJ23" s="33"/>
      <c r="AK23" s="33"/>
      <c r="AL23" s="13"/>
      <c r="AM23" s="13"/>
      <c r="AN23" s="13"/>
      <c r="AO23" s="13"/>
      <c r="AP23" s="13"/>
      <c r="AQ23" s="13"/>
      <c r="AR23" s="13"/>
      <c r="AS23" s="13"/>
      <c r="AT23" s="13"/>
      <c r="AU23" s="13"/>
      <c r="AV23" s="13"/>
      <c r="AW23" s="13"/>
      <c r="AX23" s="13"/>
      <c r="AY23" s="13"/>
      <c r="AZ23" s="13"/>
      <c r="BA23" s="13"/>
      <c r="BB23" s="13"/>
      <c r="BC23" s="13"/>
    </row>
    <row r="24" spans="1:57" ht="13.8">
      <c r="A24" s="12"/>
      <c r="B24" s="48" t="s">
        <v>71</v>
      </c>
      <c r="C24" s="173">
        <v>1618.4</v>
      </c>
      <c r="D24" s="20" t="s">
        <v>167</v>
      </c>
      <c r="I24" s="11"/>
      <c r="J24" s="86"/>
      <c r="L24" s="181" t="s">
        <v>1</v>
      </c>
      <c r="M24" s="182">
        <f>+MAX('Loading Data'!AF:AF)</f>
        <v>0.22117567497759535</v>
      </c>
      <c r="N24" s="182" t="str">
        <f t="shared" si="4"/>
        <v>OK</v>
      </c>
      <c r="R24" s="145">
        <v>17</v>
      </c>
      <c r="S24" s="146">
        <v>0.20000000000000007</v>
      </c>
      <c r="T24" s="147">
        <v>0.26100000000000001</v>
      </c>
      <c r="U24" s="147">
        <f t="shared" si="0"/>
        <v>0.25908800000000026</v>
      </c>
      <c r="V24" s="148">
        <v>2.78</v>
      </c>
      <c r="W24" s="147">
        <f t="shared" si="1"/>
        <v>2.7528199999999998</v>
      </c>
      <c r="X24" s="122"/>
      <c r="Y24" s="145">
        <v>17</v>
      </c>
      <c r="Z24" s="146">
        <v>0.21000000000000008</v>
      </c>
      <c r="AA24" s="147">
        <v>0.251</v>
      </c>
      <c r="AB24" s="147">
        <f t="shared" si="2"/>
        <v>0.24986934000000027</v>
      </c>
      <c r="AC24" s="148">
        <v>2.8</v>
      </c>
      <c r="AD24" s="147">
        <f t="shared" si="3"/>
        <v>2.7812962598099986</v>
      </c>
      <c r="AE24" s="33"/>
      <c r="AF24" s="33"/>
      <c r="AG24" s="42"/>
      <c r="AH24" s="42"/>
      <c r="AI24" s="33"/>
      <c r="AJ24" s="33"/>
      <c r="AK24" s="33"/>
      <c r="AL24" s="13"/>
      <c r="AM24" s="13"/>
      <c r="AN24" s="13"/>
      <c r="AO24" s="13"/>
      <c r="AP24" s="13"/>
      <c r="AQ24" s="13"/>
      <c r="AR24" s="13"/>
      <c r="AS24" s="13"/>
      <c r="AT24" s="13"/>
      <c r="AU24" s="13"/>
      <c r="AV24" s="13"/>
      <c r="AW24" s="13"/>
      <c r="AX24" s="13"/>
      <c r="AY24" s="13"/>
      <c r="AZ24" s="13"/>
      <c r="BA24" s="13"/>
      <c r="BB24" s="13"/>
      <c r="BC24" s="13"/>
    </row>
    <row r="25" spans="1:57" ht="13.8">
      <c r="A25" s="12"/>
      <c r="B25" s="48" t="s">
        <v>175</v>
      </c>
      <c r="C25" s="185">
        <v>110</v>
      </c>
      <c r="D25" s="20"/>
      <c r="E25" s="70"/>
      <c r="I25" s="11"/>
      <c r="J25" s="86"/>
      <c r="L25" s="181" t="s">
        <v>234</v>
      </c>
      <c r="M25" s="182">
        <f>+MAX('Loading Data'!AG:AG)</f>
        <v>4.637571521639712E-2</v>
      </c>
      <c r="N25" s="182" t="str">
        <f>+IF(M25&gt;1,"NG","OK")</f>
        <v>OK</v>
      </c>
      <c r="R25" s="145">
        <v>18</v>
      </c>
      <c r="S25" s="146">
        <v>0.20500000000000007</v>
      </c>
      <c r="T25" s="147">
        <v>0.27700000000000002</v>
      </c>
      <c r="U25" s="147">
        <f t="shared" si="0"/>
        <v>0.27437415500000034</v>
      </c>
      <c r="V25" s="148">
        <v>2.83</v>
      </c>
      <c r="W25" s="147">
        <f t="shared" si="1"/>
        <v>2.8200520018312361</v>
      </c>
      <c r="X25" s="122"/>
      <c r="Y25" s="145">
        <v>18</v>
      </c>
      <c r="Z25" s="146">
        <v>0.21500000000000008</v>
      </c>
      <c r="AA25" s="147">
        <v>0.26500000000000001</v>
      </c>
      <c r="AB25" s="147">
        <f t="shared" si="2"/>
        <v>0.26488481500000027</v>
      </c>
      <c r="AC25" s="148">
        <v>2.85</v>
      </c>
      <c r="AD25" s="147">
        <f t="shared" si="3"/>
        <v>2.8472001871509356</v>
      </c>
      <c r="AE25" s="33"/>
      <c r="AF25" s="33"/>
      <c r="AG25" s="42"/>
      <c r="AH25" s="42"/>
      <c r="AI25" s="33"/>
      <c r="AJ25" s="33"/>
      <c r="AK25" s="33"/>
      <c r="AL25" s="13"/>
      <c r="AM25" s="13"/>
      <c r="AN25" s="13"/>
      <c r="AO25" s="13"/>
      <c r="AP25" s="13"/>
      <c r="AQ25" s="13"/>
      <c r="AR25" s="13"/>
      <c r="AS25" s="13"/>
      <c r="AT25" s="13"/>
      <c r="AU25" s="13"/>
      <c r="AV25" s="13"/>
      <c r="AW25" s="13"/>
      <c r="AX25" s="13"/>
      <c r="AY25" s="13"/>
      <c r="AZ25" s="13"/>
      <c r="BA25" s="13"/>
      <c r="BB25" s="13"/>
      <c r="BC25" s="13"/>
    </row>
    <row r="26" spans="1:57">
      <c r="A26" s="12"/>
      <c r="B26" s="165" t="s">
        <v>142</v>
      </c>
      <c r="C26" s="88"/>
      <c r="D26" s="88"/>
      <c r="E26" s="70"/>
      <c r="I26" s="11"/>
      <c r="J26" s="87"/>
      <c r="R26" s="145">
        <v>19</v>
      </c>
      <c r="S26" s="146">
        <v>0.21000000000000008</v>
      </c>
      <c r="T26" s="147">
        <v>0.28999999999999998</v>
      </c>
      <c r="U26" s="147">
        <f t="shared" si="0"/>
        <v>0.28950282000000033</v>
      </c>
      <c r="V26" s="148">
        <v>2.9</v>
      </c>
      <c r="W26" s="147">
        <f t="shared" si="1"/>
        <v>2.8901199386000016</v>
      </c>
      <c r="X26" s="122"/>
      <c r="Y26" s="145">
        <v>19</v>
      </c>
      <c r="Z26" s="146">
        <v>0.22000000000000008</v>
      </c>
      <c r="AA26" s="147">
        <v>0.28000000000000003</v>
      </c>
      <c r="AB26" s="147">
        <f t="shared" si="2"/>
        <v>0.27976616000000032</v>
      </c>
      <c r="AC26" s="148">
        <v>2.92</v>
      </c>
      <c r="AD26" s="147">
        <f t="shared" si="3"/>
        <v>2.9157421539200037</v>
      </c>
      <c r="AE26" s="33"/>
      <c r="AF26" s="33"/>
      <c r="AG26" s="42"/>
      <c r="AH26" s="42"/>
      <c r="AI26" s="33"/>
      <c r="AJ26" s="33"/>
      <c r="AK26" s="33"/>
      <c r="AL26" s="13"/>
      <c r="AM26" s="13"/>
      <c r="AN26" s="13"/>
      <c r="AO26" s="13"/>
      <c r="AP26" s="13"/>
      <c r="AQ26" s="13"/>
      <c r="AR26" s="13"/>
      <c r="AS26" s="13"/>
      <c r="AT26" s="13"/>
      <c r="AU26" s="13"/>
      <c r="AV26" s="13"/>
      <c r="AW26" s="13"/>
      <c r="AX26" s="13"/>
      <c r="AY26" s="13"/>
      <c r="AZ26" s="13"/>
      <c r="BA26" s="13"/>
      <c r="BB26" s="13"/>
      <c r="BC26" s="13"/>
    </row>
    <row r="27" spans="1:57">
      <c r="A27" s="10" t="s">
        <v>18</v>
      </c>
      <c r="B27" s="166" t="s">
        <v>143</v>
      </c>
      <c r="C27" s="88"/>
      <c r="D27" s="88"/>
      <c r="E27" s="70"/>
      <c r="I27" s="11"/>
      <c r="J27" s="86"/>
      <c r="R27" s="145">
        <v>20</v>
      </c>
      <c r="S27" s="146">
        <v>0.21500000000000008</v>
      </c>
      <c r="T27" s="147">
        <v>0.30399999999999999</v>
      </c>
      <c r="U27" s="147">
        <f t="shared" si="0"/>
        <v>0.30447399500000033</v>
      </c>
      <c r="V27" s="148">
        <v>2.97</v>
      </c>
      <c r="W27" s="147">
        <f t="shared" si="1"/>
        <v>2.9629762799937609</v>
      </c>
      <c r="X27" s="122"/>
      <c r="Y27" s="145">
        <v>20</v>
      </c>
      <c r="Z27" s="146">
        <v>0.22500000000000009</v>
      </c>
      <c r="AA27" s="147">
        <v>0.29499999999999998</v>
      </c>
      <c r="AB27" s="147">
        <f t="shared" si="2"/>
        <v>0.2945133750000003</v>
      </c>
      <c r="AC27" s="148">
        <v>3</v>
      </c>
      <c r="AD27" s="147">
        <f t="shared" si="3"/>
        <v>2.9870555947265647</v>
      </c>
      <c r="AE27" s="33"/>
      <c r="AF27" s="33"/>
      <c r="AG27" s="33"/>
      <c r="AH27" s="33"/>
      <c r="AI27" s="33"/>
      <c r="AJ27" s="33"/>
      <c r="AK27" s="33"/>
      <c r="AL27" s="13"/>
      <c r="AM27" s="13"/>
      <c r="AN27" s="13"/>
      <c r="AO27" s="13"/>
      <c r="AP27" s="13"/>
      <c r="AQ27" s="13"/>
      <c r="AR27" s="13"/>
      <c r="AS27" s="13"/>
      <c r="AT27" s="13"/>
      <c r="AU27" s="13"/>
      <c r="AV27" s="13"/>
      <c r="AW27" s="13"/>
      <c r="AX27" s="13"/>
      <c r="AY27" s="13"/>
      <c r="AZ27" s="13"/>
      <c r="BA27" s="13"/>
      <c r="BB27" s="13"/>
      <c r="BC27" s="13"/>
    </row>
    <row r="28" spans="1:57">
      <c r="A28" s="12"/>
      <c r="B28" s="70"/>
      <c r="C28" s="88"/>
      <c r="D28" s="88"/>
      <c r="E28" s="70"/>
      <c r="J28" s="43"/>
      <c r="R28" s="145">
        <v>21</v>
      </c>
      <c r="S28" s="146">
        <v>0.22000000000000008</v>
      </c>
      <c r="T28" s="147">
        <v>0.31900000000000001</v>
      </c>
      <c r="U28" s="147">
        <f t="shared" si="0"/>
        <v>0.31928768000000035</v>
      </c>
      <c r="V28" s="148">
        <v>3.03</v>
      </c>
      <c r="W28" s="147">
        <f t="shared" si="1"/>
        <v>3.0385729151999925</v>
      </c>
      <c r="X28" s="122"/>
      <c r="Y28" s="145">
        <v>21</v>
      </c>
      <c r="Z28" s="146">
        <v>0.23000000000000009</v>
      </c>
      <c r="AA28" s="147">
        <v>0.31</v>
      </c>
      <c r="AB28" s="147">
        <f t="shared" si="2"/>
        <v>0.30912646000000032</v>
      </c>
      <c r="AC28" s="148">
        <v>3.05</v>
      </c>
      <c r="AD28" s="147">
        <f t="shared" si="3"/>
        <v>3.0612890838300011</v>
      </c>
      <c r="AE28" s="33"/>
      <c r="AF28" s="33"/>
      <c r="AG28" s="33"/>
      <c r="AH28" s="33"/>
      <c r="AI28" s="33"/>
      <c r="AJ28" s="33"/>
      <c r="AK28" s="33"/>
      <c r="AL28" s="13"/>
      <c r="AM28" s="13"/>
      <c r="AN28" s="13"/>
      <c r="AO28" s="13"/>
      <c r="AP28" s="13"/>
      <c r="AQ28" s="13"/>
      <c r="AR28" s="13"/>
      <c r="AS28" s="13"/>
      <c r="AT28" s="13"/>
      <c r="AU28" s="13"/>
      <c r="AV28" s="13"/>
      <c r="AW28" s="13"/>
      <c r="AX28" s="13"/>
      <c r="AY28" s="13"/>
      <c r="AZ28" s="13"/>
      <c r="BA28" s="13"/>
      <c r="BB28" s="13"/>
      <c r="BC28" s="13"/>
    </row>
    <row r="29" spans="1:57">
      <c r="A29" s="10" t="s">
        <v>72</v>
      </c>
      <c r="B29" s="17"/>
      <c r="C29" s="89"/>
      <c r="D29" s="20"/>
      <c r="G29" s="11"/>
      <c r="I29" s="11"/>
      <c r="J29" s="86"/>
      <c r="R29" s="145">
        <v>22</v>
      </c>
      <c r="S29" s="146">
        <v>0.22500000000000009</v>
      </c>
      <c r="T29" s="147">
        <v>0.33300000000000002</v>
      </c>
      <c r="U29" s="147">
        <f t="shared" si="0"/>
        <v>0.33394387500000039</v>
      </c>
      <c r="V29" s="148">
        <v>3.09</v>
      </c>
      <c r="W29" s="147">
        <f t="shared" si="1"/>
        <v>3.1168694726562549</v>
      </c>
      <c r="X29" s="122"/>
      <c r="Y29" s="145">
        <v>22</v>
      </c>
      <c r="Z29" s="146">
        <v>0.2350000000000001</v>
      </c>
      <c r="AA29" s="147">
        <v>0.32200000000000001</v>
      </c>
      <c r="AB29" s="147">
        <f t="shared" si="2"/>
        <v>0.32360541500000028</v>
      </c>
      <c r="AC29" s="148">
        <v>3.12</v>
      </c>
      <c r="AD29" s="147">
        <f t="shared" si="3"/>
        <v>3.1386084156771883</v>
      </c>
      <c r="AE29" s="33"/>
      <c r="AF29" s="33"/>
      <c r="AG29" s="33"/>
      <c r="AH29" s="33"/>
      <c r="AI29" s="33"/>
      <c r="AJ29" s="33"/>
      <c r="AK29" s="33"/>
      <c r="AL29" s="13"/>
      <c r="AM29" s="13"/>
      <c r="AN29" s="13"/>
      <c r="AO29" s="13"/>
      <c r="AP29" s="13"/>
      <c r="AQ29" s="13"/>
      <c r="AR29" s="13"/>
      <c r="AS29" s="13"/>
      <c r="AT29" s="13"/>
      <c r="AU29" s="13"/>
      <c r="AV29" s="13"/>
      <c r="AW29" s="13"/>
      <c r="AX29" s="13"/>
      <c r="AY29" s="13"/>
      <c r="AZ29" s="13"/>
      <c r="BA29" s="13"/>
      <c r="BB29" s="13"/>
      <c r="BC29" s="13"/>
    </row>
    <row r="30" spans="1:57">
      <c r="A30" s="12"/>
      <c r="B30" s="25" t="s">
        <v>73</v>
      </c>
      <c r="C30" s="94">
        <f>$C$31*SIN(PI()/180*45)</f>
        <v>2.5188816817956909</v>
      </c>
      <c r="D30" s="90" t="s">
        <v>160</v>
      </c>
      <c r="E30" s="33" t="s">
        <v>74</v>
      </c>
      <c r="I30" s="30"/>
      <c r="J30" s="86"/>
      <c r="R30" s="145">
        <v>23</v>
      </c>
      <c r="S30" s="146">
        <v>0.23000000000000009</v>
      </c>
      <c r="T30" s="147">
        <v>0.34799999999999998</v>
      </c>
      <c r="U30" s="147">
        <f t="shared" si="0"/>
        <v>0.34844258000000045</v>
      </c>
      <c r="V30" s="148">
        <v>3.18</v>
      </c>
      <c r="W30" s="147">
        <f t="shared" si="1"/>
        <v>3.1978416397999965</v>
      </c>
      <c r="X30" s="122"/>
      <c r="Y30" s="145">
        <v>23</v>
      </c>
      <c r="Z30" s="146">
        <v>0.2400000000000001</v>
      </c>
      <c r="AA30" s="147">
        <v>0.33600000000000002</v>
      </c>
      <c r="AB30" s="147">
        <f t="shared" si="2"/>
        <v>0.33795024000000029</v>
      </c>
      <c r="AC30" s="148">
        <v>3.2</v>
      </c>
      <c r="AD30" s="147">
        <f t="shared" si="3"/>
        <v>3.2191986854400021</v>
      </c>
      <c r="AE30" s="33"/>
      <c r="AF30" s="33"/>
      <c r="AG30" s="44"/>
      <c r="AH30" s="33"/>
      <c r="AI30" s="33"/>
      <c r="AJ30" s="33"/>
      <c r="AK30" s="33"/>
      <c r="AL30" s="13"/>
      <c r="AM30" s="13"/>
      <c r="AN30" s="13"/>
      <c r="AO30" s="13"/>
      <c r="AP30" s="13"/>
      <c r="AQ30" s="13"/>
      <c r="AR30" s="13"/>
      <c r="AS30" s="13"/>
      <c r="AT30" s="13"/>
      <c r="AU30" s="13"/>
      <c r="AV30" s="13"/>
      <c r="AW30" s="13"/>
      <c r="AX30" s="13"/>
      <c r="AY30" s="13"/>
      <c r="AZ30" s="13"/>
      <c r="BA30" s="13"/>
      <c r="BB30" s="13"/>
      <c r="BC30" s="13"/>
    </row>
    <row r="31" spans="1:57">
      <c r="A31" s="12"/>
      <c r="B31" s="25" t="s">
        <v>75</v>
      </c>
      <c r="C31" s="91">
        <f>TAN(PI()/180*22.5)*$C$9</f>
        <v>3.5622366364086173</v>
      </c>
      <c r="D31" s="90" t="s">
        <v>160</v>
      </c>
      <c r="E31" s="33" t="s">
        <v>76</v>
      </c>
      <c r="I31" s="30"/>
      <c r="J31" s="43"/>
      <c r="R31" s="145">
        <v>24</v>
      </c>
      <c r="S31" s="146">
        <v>0.2350000000000001</v>
      </c>
      <c r="T31" s="147">
        <v>0.36199999999999999</v>
      </c>
      <c r="U31" s="147">
        <f t="shared" si="0"/>
        <v>0.36278379500000052</v>
      </c>
      <c r="V31" s="148">
        <v>3.28</v>
      </c>
      <c r="W31" s="147">
        <f t="shared" si="1"/>
        <v>3.281489482818742</v>
      </c>
      <c r="X31" s="122"/>
      <c r="Y31" s="145">
        <v>24</v>
      </c>
      <c r="Z31" s="146">
        <v>0.24500000000000011</v>
      </c>
      <c r="AA31" s="147">
        <v>0.35</v>
      </c>
      <c r="AB31" s="147">
        <f t="shared" si="2"/>
        <v>0.35216093500000034</v>
      </c>
      <c r="AC31" s="148">
        <v>3.3</v>
      </c>
      <c r="AD31" s="147">
        <f t="shared" si="3"/>
        <v>3.3032663695528157</v>
      </c>
      <c r="AE31" s="33"/>
      <c r="AF31" s="33"/>
      <c r="AG31" s="33"/>
      <c r="AH31" s="42"/>
      <c r="AI31" s="42"/>
      <c r="AJ31" s="42"/>
      <c r="AK31" s="42"/>
      <c r="AL31" s="13"/>
      <c r="AM31" s="13"/>
      <c r="AN31" s="13"/>
      <c r="AO31" s="13"/>
      <c r="AP31" s="13"/>
      <c r="AQ31" s="13"/>
      <c r="AR31" s="13"/>
      <c r="AS31" s="13"/>
      <c r="AT31" s="13"/>
      <c r="AU31" s="13"/>
      <c r="AV31" s="13"/>
      <c r="AW31" s="13"/>
      <c r="AX31" s="13"/>
      <c r="AY31" s="13"/>
      <c r="AZ31" s="13"/>
      <c r="BA31" s="13"/>
      <c r="BB31" s="13"/>
      <c r="BC31" s="13"/>
    </row>
    <row r="32" spans="1:57">
      <c r="A32" s="12"/>
      <c r="B32" s="25" t="s">
        <v>77</v>
      </c>
      <c r="C32" s="91">
        <f>$C$9/COS(PI()/180*22.5)</f>
        <v>9.3085729225145872</v>
      </c>
      <c r="D32" s="90" t="s">
        <v>160</v>
      </c>
      <c r="E32" s="33" t="s">
        <v>78</v>
      </c>
      <c r="I32" s="30"/>
      <c r="J32" s="43"/>
      <c r="R32" s="145">
        <v>25</v>
      </c>
      <c r="S32" s="146">
        <v>0.2400000000000001</v>
      </c>
      <c r="T32" s="147">
        <v>0.376</v>
      </c>
      <c r="U32" s="147">
        <f t="shared" si="0"/>
        <v>0.3769675200000005</v>
      </c>
      <c r="V32" s="148">
        <v>3.37</v>
      </c>
      <c r="W32" s="147">
        <f t="shared" si="1"/>
        <v>3.367845766399995</v>
      </c>
      <c r="X32" s="122"/>
      <c r="Y32" s="145">
        <v>25</v>
      </c>
      <c r="Z32" s="146">
        <v>0.25000000000000011</v>
      </c>
      <c r="AA32" s="147">
        <v>0.36699999999999999</v>
      </c>
      <c r="AB32" s="147">
        <f t="shared" si="2"/>
        <v>0.36623750000000033</v>
      </c>
      <c r="AC32" s="148">
        <v>3.4</v>
      </c>
      <c r="AD32" s="147">
        <f t="shared" si="3"/>
        <v>3.3910414062500021</v>
      </c>
      <c r="AE32" s="33"/>
      <c r="AF32" s="33"/>
      <c r="AG32" s="33"/>
      <c r="AH32" s="42"/>
      <c r="AI32" s="42"/>
      <c r="AJ32" s="42"/>
      <c r="AK32" s="42"/>
      <c r="AL32" s="13"/>
      <c r="AM32" s="13"/>
      <c r="AN32" s="13"/>
      <c r="AO32" s="13"/>
      <c r="AP32" s="13"/>
      <c r="AQ32" s="13"/>
      <c r="AR32" s="13"/>
      <c r="AS32" s="13"/>
      <c r="AT32" s="13"/>
      <c r="AU32" s="13"/>
      <c r="AV32" s="13"/>
      <c r="AW32" s="13"/>
      <c r="AX32" s="13"/>
      <c r="AY32" s="13"/>
      <c r="AZ32" s="13"/>
      <c r="BA32" s="13"/>
      <c r="BB32" s="13"/>
      <c r="BC32" s="13"/>
    </row>
    <row r="33" spans="1:55">
      <c r="A33" s="12"/>
      <c r="B33" s="25" t="s">
        <v>79</v>
      </c>
      <c r="C33" s="91">
        <f>(1-2*(TAN(PI()/180*22.5)*SIN(PI()/180*45))^2)*$C$9^2</f>
        <v>61.27047014622822</v>
      </c>
      <c r="D33" s="90" t="s">
        <v>162</v>
      </c>
      <c r="E33" s="92" t="s">
        <v>80</v>
      </c>
      <c r="F33" s="31"/>
      <c r="J33" s="43"/>
      <c r="M33" s="22"/>
      <c r="R33" s="145">
        <v>26</v>
      </c>
      <c r="S33" s="146">
        <v>0.24500000000000011</v>
      </c>
      <c r="T33" s="147">
        <v>0.39200000000000002</v>
      </c>
      <c r="U33" s="147">
        <f t="shared" si="0"/>
        <v>0.3909937550000005</v>
      </c>
      <c r="V33" s="148">
        <v>3.45</v>
      </c>
      <c r="W33" s="147">
        <f t="shared" si="1"/>
        <v>3.4569842734812681</v>
      </c>
      <c r="X33" s="122"/>
      <c r="Y33" s="145">
        <v>26</v>
      </c>
      <c r="Z33" s="146">
        <v>0.25500000000000012</v>
      </c>
      <c r="AA33" s="147">
        <v>0.38</v>
      </c>
      <c r="AB33" s="147">
        <f t="shared" si="2"/>
        <v>0.38017993500000036</v>
      </c>
      <c r="AC33" s="148">
        <v>3.5</v>
      </c>
      <c r="AD33" s="147">
        <f t="shared" si="3"/>
        <v>3.4827792761034466</v>
      </c>
      <c r="AE33" s="33"/>
      <c r="AF33" s="33"/>
      <c r="AG33" s="33"/>
      <c r="AH33" s="42"/>
      <c r="AI33" s="42"/>
      <c r="AJ33" s="42"/>
      <c r="AK33" s="42"/>
      <c r="AL33" s="13"/>
      <c r="AM33" s="13"/>
      <c r="AN33" s="13"/>
      <c r="AO33" s="13"/>
      <c r="AP33" s="13"/>
      <c r="AQ33" s="13"/>
      <c r="AR33" s="13"/>
      <c r="AS33" s="13"/>
      <c r="AT33" s="13"/>
      <c r="AU33" s="13"/>
      <c r="AV33" s="13"/>
      <c r="AW33" s="13"/>
      <c r="AX33" s="13"/>
      <c r="AY33" s="13"/>
      <c r="AZ33" s="13"/>
      <c r="BA33" s="13"/>
      <c r="BB33" s="13"/>
      <c r="BC33" s="13"/>
    </row>
    <row r="34" spans="1:55">
      <c r="A34" s="12"/>
      <c r="B34" s="48" t="s">
        <v>81</v>
      </c>
      <c r="C34" s="91">
        <f>$C$33*$C$10</f>
        <v>42.889329102359753</v>
      </c>
      <c r="D34" s="90" t="s">
        <v>163</v>
      </c>
      <c r="E34" s="33" t="s">
        <v>82</v>
      </c>
      <c r="F34" s="31"/>
      <c r="J34" s="43"/>
      <c r="M34" s="22"/>
      <c r="R34" s="145">
        <v>27</v>
      </c>
      <c r="S34" s="146">
        <v>0.25000000000000011</v>
      </c>
      <c r="T34" s="147">
        <v>0.40500000000000003</v>
      </c>
      <c r="U34" s="147">
        <f t="shared" si="0"/>
        <v>0.4048625000000004</v>
      </c>
      <c r="V34" s="148">
        <v>3.54</v>
      </c>
      <c r="W34" s="147">
        <f t="shared" si="1"/>
        <v>3.5490281249999924</v>
      </c>
      <c r="X34" s="122"/>
      <c r="Y34" s="145">
        <v>27</v>
      </c>
      <c r="Z34" s="146">
        <v>0.26000000000000012</v>
      </c>
      <c r="AA34" s="147">
        <v>0.39500000000000002</v>
      </c>
      <c r="AB34" s="147">
        <f t="shared" si="2"/>
        <v>0.39398824000000043</v>
      </c>
      <c r="AC34" s="148">
        <v>3.6</v>
      </c>
      <c r="AD34" s="147">
        <f t="shared" si="3"/>
        <v>3.578763082560009</v>
      </c>
      <c r="AE34" s="33"/>
      <c r="AF34" s="33"/>
      <c r="AG34" s="33"/>
      <c r="AH34" s="35"/>
      <c r="AI34" s="35"/>
      <c r="AJ34" s="35"/>
      <c r="AK34" s="35"/>
      <c r="AL34" s="13"/>
      <c r="AM34" s="13"/>
      <c r="AN34" s="13"/>
      <c r="AO34" s="13"/>
      <c r="AP34" s="13"/>
      <c r="AQ34" s="13"/>
      <c r="AR34" s="13"/>
      <c r="AS34" s="13"/>
      <c r="AT34" s="13"/>
      <c r="AU34" s="13"/>
      <c r="AV34" s="13"/>
      <c r="AW34" s="13"/>
      <c r="AX34" s="13"/>
      <c r="AY34" s="13"/>
      <c r="AZ34" s="13"/>
      <c r="BA34" s="13"/>
      <c r="BB34" s="13"/>
      <c r="BC34" s="13"/>
    </row>
    <row r="35" spans="1:55">
      <c r="A35" s="12"/>
      <c r="B35" s="25" t="s">
        <v>83</v>
      </c>
      <c r="C35" s="93">
        <f>0.054738*$C$9^4</f>
        <v>299.42132662079996</v>
      </c>
      <c r="D35" s="90" t="s">
        <v>164</v>
      </c>
      <c r="E35" s="11" t="s">
        <v>84</v>
      </c>
      <c r="J35" s="43"/>
      <c r="M35" s="22"/>
      <c r="R35" s="145">
        <v>28</v>
      </c>
      <c r="S35" s="146">
        <v>0.25500000000000012</v>
      </c>
      <c r="T35" s="147">
        <v>0.41899999999999998</v>
      </c>
      <c r="U35" s="147">
        <f t="shared" si="0"/>
        <v>0.41857375500000044</v>
      </c>
      <c r="V35" s="148">
        <v>3.64</v>
      </c>
      <c r="W35" s="147">
        <f t="shared" si="1"/>
        <v>3.644158099643775</v>
      </c>
      <c r="X35" s="122"/>
      <c r="Y35" s="145">
        <v>28</v>
      </c>
      <c r="Z35" s="146">
        <v>0.26500000000000012</v>
      </c>
      <c r="AA35" s="147">
        <v>0.41</v>
      </c>
      <c r="AB35" s="147">
        <f t="shared" si="2"/>
        <v>0.40766241500000044</v>
      </c>
      <c r="AC35" s="148">
        <v>3.7</v>
      </c>
      <c r="AD35" s="147">
        <f t="shared" si="3"/>
        <v>3.6793056324790605</v>
      </c>
      <c r="AE35" s="33"/>
      <c r="AF35" s="33"/>
      <c r="AG35" s="33"/>
      <c r="AH35" s="35"/>
      <c r="AI35" s="35"/>
      <c r="AJ35" s="35"/>
      <c r="AK35" s="35"/>
      <c r="AL35" s="13"/>
      <c r="AM35" s="13"/>
      <c r="AN35" s="13"/>
      <c r="AO35" s="13"/>
      <c r="AP35" s="13"/>
      <c r="AQ35" s="13"/>
      <c r="AR35" s="13"/>
      <c r="AS35" s="13"/>
      <c r="AT35" s="13"/>
      <c r="AU35" s="13"/>
      <c r="AV35" s="13"/>
      <c r="AW35" s="13"/>
      <c r="AX35" s="13"/>
      <c r="AY35" s="13"/>
      <c r="AZ35" s="13"/>
      <c r="BA35" s="13"/>
      <c r="BB35" s="13"/>
      <c r="BC35" s="13"/>
    </row>
    <row r="36" spans="1:55">
      <c r="A36" s="12"/>
      <c r="J36" s="43"/>
      <c r="M36" s="22"/>
      <c r="R36" s="145">
        <v>29</v>
      </c>
      <c r="S36" s="146">
        <v>0.26000000000000012</v>
      </c>
      <c r="T36" s="147">
        <v>0.433</v>
      </c>
      <c r="U36" s="147">
        <f t="shared" si="0"/>
        <v>0.4321275200000006</v>
      </c>
      <c r="V36" s="148">
        <v>3.73</v>
      </c>
      <c r="W36" s="147">
        <f t="shared" si="1"/>
        <v>3.7426209536000101</v>
      </c>
      <c r="X36" s="122"/>
      <c r="Y36" s="145">
        <v>29</v>
      </c>
      <c r="Z36" s="146">
        <v>0.27000000000000013</v>
      </c>
      <c r="AA36" s="147">
        <v>0.42199999999999999</v>
      </c>
      <c r="AB36" s="147">
        <f t="shared" si="2"/>
        <v>0.42120246000000039</v>
      </c>
      <c r="AC36" s="148">
        <v>3.8</v>
      </c>
      <c r="AD36" s="147">
        <f t="shared" si="3"/>
        <v>3.7847515166699992</v>
      </c>
      <c r="AE36" s="33"/>
      <c r="AF36" s="33"/>
      <c r="AG36" s="33"/>
      <c r="AH36" s="35"/>
      <c r="AI36" s="35"/>
      <c r="AJ36" s="35"/>
      <c r="AK36" s="35"/>
      <c r="AL36" s="13"/>
      <c r="AM36" s="13"/>
      <c r="AN36" s="13"/>
      <c r="AO36" s="13"/>
      <c r="AP36" s="13"/>
      <c r="AQ36" s="13"/>
      <c r="AR36" s="13"/>
      <c r="AS36" s="13"/>
      <c r="AT36" s="13"/>
      <c r="AU36" s="13"/>
      <c r="AV36" s="13"/>
      <c r="AW36" s="13"/>
      <c r="AX36" s="13"/>
      <c r="AY36" s="13"/>
      <c r="AZ36" s="13"/>
      <c r="BA36" s="13"/>
      <c r="BB36" s="13"/>
      <c r="BC36" s="13"/>
    </row>
    <row r="37" spans="1:55">
      <c r="A37" s="10" t="s">
        <v>85</v>
      </c>
      <c r="I37" s="11"/>
      <c r="J37" s="43"/>
      <c r="M37" s="22"/>
      <c r="R37" s="145">
        <v>30</v>
      </c>
      <c r="S37" s="146">
        <v>0.26500000000000001</v>
      </c>
      <c r="T37" s="147">
        <v>0.44800000000000001</v>
      </c>
      <c r="U37" s="147">
        <f t="shared" si="0"/>
        <v>0.44552379500000022</v>
      </c>
      <c r="V37" s="148">
        <v>3.83</v>
      </c>
      <c r="W37" s="147">
        <f t="shared" si="1"/>
        <v>3.8447377403062788</v>
      </c>
      <c r="X37" s="122"/>
      <c r="Y37" s="145">
        <v>30</v>
      </c>
      <c r="Z37" s="146">
        <v>0.27500000000000013</v>
      </c>
      <c r="AA37" s="147">
        <v>0.435</v>
      </c>
      <c r="AB37" s="147">
        <f t="shared" si="2"/>
        <v>0.43460837500000027</v>
      </c>
      <c r="AC37" s="148">
        <v>3.9</v>
      </c>
      <c r="AD37" s="147">
        <f t="shared" si="3"/>
        <v>3.8954791904296862</v>
      </c>
      <c r="AE37" s="33"/>
      <c r="AF37" s="33"/>
      <c r="AG37" s="33"/>
      <c r="AH37" s="35"/>
      <c r="AI37" s="35"/>
      <c r="AJ37" s="35"/>
      <c r="AK37" s="35"/>
      <c r="AL37" s="13"/>
      <c r="AM37" s="13"/>
      <c r="AN37" s="13"/>
      <c r="AO37" s="13"/>
      <c r="AP37" s="13"/>
      <c r="AQ37" s="13"/>
      <c r="AR37" s="13"/>
      <c r="AS37" s="13"/>
      <c r="AT37" s="13"/>
      <c r="AU37" s="13"/>
      <c r="AV37" s="13"/>
      <c r="AW37" s="13"/>
      <c r="AX37" s="13"/>
      <c r="AY37" s="13"/>
      <c r="AZ37" s="13"/>
      <c r="BA37" s="13"/>
      <c r="BB37" s="13"/>
      <c r="BC37" s="13"/>
    </row>
    <row r="38" spans="1:55" ht="12.75" customHeight="1">
      <c r="A38" s="12"/>
      <c r="B38" s="25" t="s">
        <v>86</v>
      </c>
      <c r="C38" s="187">
        <f>$C$39*SIN(PI()/180*45)</f>
        <v>2.5188816817956909</v>
      </c>
      <c r="D38" s="90" t="s">
        <v>160</v>
      </c>
      <c r="E38" s="33" t="s">
        <v>87</v>
      </c>
      <c r="I38" s="11"/>
      <c r="J38" s="43"/>
      <c r="M38" s="22"/>
      <c r="R38" s="145">
        <v>31</v>
      </c>
      <c r="S38" s="146">
        <v>0.27000000000000013</v>
      </c>
      <c r="T38" s="147">
        <v>0.45900000000000002</v>
      </c>
      <c r="U38" s="147">
        <f t="shared" si="0"/>
        <v>0.45876258000000042</v>
      </c>
      <c r="V38" s="148">
        <v>3.93</v>
      </c>
      <c r="W38" s="147">
        <f t="shared" si="1"/>
        <v>3.9509121301999954</v>
      </c>
      <c r="X38" s="122"/>
      <c r="Y38" s="145">
        <v>31</v>
      </c>
      <c r="Z38" s="146">
        <v>0.28000000000000014</v>
      </c>
      <c r="AA38" s="147">
        <v>0.44800000000000001</v>
      </c>
      <c r="AB38" s="147">
        <f t="shared" si="2"/>
        <v>0.44788016000000042</v>
      </c>
      <c r="AC38" s="148">
        <v>4</v>
      </c>
      <c r="AD38" s="147">
        <f t="shared" si="3"/>
        <v>4.0119030540800029</v>
      </c>
      <c r="AE38" s="33"/>
      <c r="AF38" s="33"/>
      <c r="AG38" s="33"/>
      <c r="AH38" s="35"/>
      <c r="AI38" s="35"/>
      <c r="AJ38" s="35"/>
      <c r="AK38" s="35"/>
      <c r="AL38" s="13"/>
      <c r="AM38" s="13"/>
      <c r="AN38" s="13"/>
      <c r="AO38" s="13"/>
      <c r="AP38" s="13"/>
      <c r="AQ38" s="13"/>
      <c r="AR38" s="13"/>
      <c r="AS38" s="13"/>
      <c r="AT38" s="13"/>
      <c r="AU38" s="13"/>
      <c r="AV38" s="13"/>
      <c r="AW38" s="13"/>
      <c r="AX38" s="13"/>
      <c r="AY38" s="13"/>
      <c r="AZ38" s="13"/>
      <c r="BA38" s="13"/>
      <c r="BB38" s="13"/>
      <c r="BC38" s="13"/>
    </row>
    <row r="39" spans="1:55">
      <c r="A39" s="12"/>
      <c r="B39" s="25" t="s">
        <v>88</v>
      </c>
      <c r="C39" s="186">
        <f>TAN(PI()/180*22.5)*$C$11</f>
        <v>3.5622366364086173</v>
      </c>
      <c r="D39" s="90" t="s">
        <v>160</v>
      </c>
      <c r="E39" s="33" t="s">
        <v>89</v>
      </c>
      <c r="I39" s="30"/>
      <c r="J39" s="43"/>
      <c r="M39" s="22"/>
      <c r="R39" s="145">
        <v>32</v>
      </c>
      <c r="S39" s="146">
        <v>0.27500000000000013</v>
      </c>
      <c r="T39" s="147">
        <v>0.47</v>
      </c>
      <c r="U39" s="147">
        <f t="shared" si="0"/>
        <v>0.47184387500000052</v>
      </c>
      <c r="V39" s="148">
        <v>4.0599999999999996</v>
      </c>
      <c r="W39" s="147">
        <f t="shared" si="1"/>
        <v>4.0616387304687294</v>
      </c>
      <c r="X39" s="122"/>
      <c r="Y39" s="145">
        <v>32</v>
      </c>
      <c r="Z39" s="146">
        <v>0.28500000000000014</v>
      </c>
      <c r="AA39" s="147">
        <v>0.46</v>
      </c>
      <c r="AB39" s="147">
        <f t="shared" si="2"/>
        <v>0.46101781500000039</v>
      </c>
      <c r="AC39" s="148">
        <v>4.12</v>
      </c>
      <c r="AD39" s="147">
        <f t="shared" si="3"/>
        <v>4.1344755335053183</v>
      </c>
      <c r="AE39" s="33"/>
      <c r="AF39" s="33"/>
      <c r="AG39" s="33"/>
      <c r="AH39" s="35"/>
      <c r="AI39" s="35"/>
      <c r="AJ39" s="35"/>
      <c r="AK39" s="35"/>
      <c r="AL39" s="13"/>
      <c r="AM39" s="13"/>
      <c r="AN39" s="13"/>
      <c r="AO39" s="13"/>
      <c r="AP39" s="13"/>
      <c r="AQ39" s="13"/>
      <c r="AR39" s="13"/>
      <c r="AS39" s="13"/>
      <c r="AT39" s="13"/>
      <c r="AU39" s="13"/>
      <c r="AV39" s="13"/>
      <c r="AW39" s="13"/>
      <c r="AX39" s="13"/>
      <c r="AY39" s="13"/>
      <c r="AZ39" s="13"/>
      <c r="BA39" s="13"/>
      <c r="BB39" s="13"/>
      <c r="BC39" s="13"/>
    </row>
    <row r="40" spans="1:55">
      <c r="A40" s="12"/>
      <c r="B40" s="25" t="s">
        <v>90</v>
      </c>
      <c r="C40" s="91">
        <f>$C$11/COS(PI()/180*22.5)</f>
        <v>9.3085729225145872</v>
      </c>
      <c r="D40" s="90" t="s">
        <v>160</v>
      </c>
      <c r="E40" s="33" t="s">
        <v>91</v>
      </c>
      <c r="J40" s="43"/>
      <c r="M40" s="22"/>
      <c r="R40" s="145">
        <v>33</v>
      </c>
      <c r="S40" s="146">
        <v>0.28000000000000014</v>
      </c>
      <c r="T40" s="147">
        <v>0.48299999999999998</v>
      </c>
      <c r="U40" s="147">
        <f t="shared" si="0"/>
        <v>0.48476768000000042</v>
      </c>
      <c r="V40" s="148">
        <v>4.2</v>
      </c>
      <c r="W40" s="147">
        <f t="shared" si="1"/>
        <v>4.1775114047999935</v>
      </c>
      <c r="X40" s="122"/>
      <c r="Y40" s="145">
        <v>33</v>
      </c>
      <c r="Z40" s="146">
        <v>0.29000000000000015</v>
      </c>
      <c r="AA40" s="147">
        <v>0.47199999999999998</v>
      </c>
      <c r="AB40" s="147">
        <f t="shared" si="2"/>
        <v>0.4740213400000004</v>
      </c>
      <c r="AC40" s="148">
        <v>4.26</v>
      </c>
      <c r="AD40" s="147">
        <f t="shared" si="3"/>
        <v>4.2636891606900047</v>
      </c>
      <c r="AE40" s="33"/>
      <c r="AF40" s="33"/>
      <c r="AG40" s="33"/>
      <c r="AH40" s="33"/>
      <c r="AI40" s="33"/>
      <c r="AJ40" s="33"/>
      <c r="AK40" s="33"/>
      <c r="AL40" s="13"/>
      <c r="AM40" s="13"/>
      <c r="AN40" s="13"/>
      <c r="AO40" s="13"/>
      <c r="AP40" s="13"/>
      <c r="AQ40" s="13"/>
      <c r="AR40" s="13"/>
      <c r="AS40" s="13"/>
      <c r="AT40" s="13"/>
      <c r="AU40" s="13"/>
      <c r="AV40" s="13"/>
      <c r="AW40" s="13"/>
      <c r="AX40" s="13"/>
      <c r="AY40" s="13"/>
      <c r="AZ40" s="13"/>
      <c r="BA40" s="13"/>
      <c r="BB40" s="13"/>
      <c r="BC40" s="13"/>
    </row>
    <row r="41" spans="1:55">
      <c r="A41" s="12"/>
      <c r="B41" s="25" t="s">
        <v>92</v>
      </c>
      <c r="C41" s="91">
        <f>(1-2*(TAN(PI()/180*22.5)*SIN(PI()/180*45))^2)*$C$11^2</f>
        <v>61.27047014622822</v>
      </c>
      <c r="D41" s="90" t="s">
        <v>162</v>
      </c>
      <c r="E41" s="92" t="s">
        <v>93</v>
      </c>
      <c r="J41" s="43"/>
      <c r="M41" s="22"/>
      <c r="R41" s="145">
        <v>34</v>
      </c>
      <c r="S41" s="146">
        <v>0.28500000000000014</v>
      </c>
      <c r="T41" s="147">
        <v>0.496</v>
      </c>
      <c r="U41" s="147">
        <f t="shared" si="0"/>
        <v>0.49753399500000067</v>
      </c>
      <c r="V41" s="148">
        <v>4.33</v>
      </c>
      <c r="W41" s="147">
        <f t="shared" si="1"/>
        <v>4.2992315931312888</v>
      </c>
      <c r="X41" s="122"/>
      <c r="Y41" s="145">
        <v>34</v>
      </c>
      <c r="Z41" s="146">
        <v>0.29500000000000015</v>
      </c>
      <c r="AA41" s="147">
        <v>0.48499999999999999</v>
      </c>
      <c r="AB41" s="147">
        <f t="shared" si="2"/>
        <v>0.48689073500000057</v>
      </c>
      <c r="AC41" s="148">
        <v>4.4000000000000004</v>
      </c>
      <c r="AD41" s="147">
        <f t="shared" si="3"/>
        <v>4.4000786542559442</v>
      </c>
      <c r="AE41" s="33"/>
      <c r="AF41" s="33"/>
      <c r="AG41" s="33"/>
      <c r="AH41" s="33"/>
      <c r="AI41" s="33"/>
      <c r="AJ41" s="33"/>
      <c r="AK41" s="33"/>
      <c r="AL41" s="13"/>
      <c r="AM41" s="13"/>
      <c r="AN41" s="13"/>
      <c r="AO41" s="13"/>
      <c r="AP41" s="13"/>
      <c r="AQ41" s="13"/>
      <c r="AR41" s="13"/>
      <c r="AS41" s="13"/>
      <c r="AT41" s="13"/>
      <c r="AU41" s="13"/>
      <c r="AV41" s="13"/>
      <c r="AW41" s="13"/>
      <c r="AX41" s="13"/>
      <c r="AY41" s="13"/>
      <c r="AZ41" s="13"/>
      <c r="BA41" s="13"/>
      <c r="BB41" s="13"/>
      <c r="BC41" s="13"/>
    </row>
    <row r="42" spans="1:55">
      <c r="A42" s="12"/>
      <c r="B42" s="48" t="s">
        <v>94</v>
      </c>
      <c r="C42" s="93">
        <f>$C$41*$C$12</f>
        <v>30.63523507311411</v>
      </c>
      <c r="D42" s="90" t="s">
        <v>163</v>
      </c>
      <c r="E42" s="33" t="s">
        <v>95</v>
      </c>
      <c r="J42" s="43"/>
      <c r="M42" s="22"/>
      <c r="R42" s="145">
        <v>35</v>
      </c>
      <c r="S42" s="146">
        <v>0.29000000000000015</v>
      </c>
      <c r="T42" s="147">
        <v>0.50800000000000001</v>
      </c>
      <c r="U42" s="147">
        <f t="shared" si="0"/>
        <v>0.51014282000000044</v>
      </c>
      <c r="V42" s="148">
        <v>4.45</v>
      </c>
      <c r="W42" s="147">
        <f t="shared" si="1"/>
        <v>4.4276166313999781</v>
      </c>
      <c r="X42" s="122"/>
      <c r="Y42" s="145">
        <v>35</v>
      </c>
      <c r="Z42" s="146">
        <v>0.30000000000000016</v>
      </c>
      <c r="AA42" s="147">
        <v>0.498</v>
      </c>
      <c r="AB42" s="147">
        <f t="shared" si="2"/>
        <v>0.49962600000000057</v>
      </c>
      <c r="AC42" s="148">
        <v>4.55</v>
      </c>
      <c r="AD42" s="147">
        <f t="shared" si="3"/>
        <v>4.5442230000000006</v>
      </c>
      <c r="AE42" s="33"/>
      <c r="AF42" s="33"/>
      <c r="AG42" s="33"/>
      <c r="AH42" s="33"/>
      <c r="AI42" s="33"/>
      <c r="AJ42" s="33"/>
      <c r="AK42" s="33"/>
      <c r="AL42" s="13"/>
      <c r="AM42" s="13"/>
      <c r="AN42" s="13"/>
      <c r="AO42" s="13"/>
      <c r="AP42" s="13"/>
      <c r="AQ42" s="13"/>
      <c r="AR42" s="13"/>
      <c r="AS42" s="13"/>
      <c r="AT42" s="13"/>
      <c r="AU42" s="13"/>
      <c r="AV42" s="13"/>
      <c r="AW42" s="13"/>
      <c r="AX42" s="13"/>
      <c r="AY42" s="13"/>
      <c r="AZ42" s="13"/>
      <c r="BA42" s="13"/>
      <c r="BB42" s="13"/>
      <c r="BC42" s="13"/>
    </row>
    <row r="43" spans="1:55">
      <c r="A43" s="12"/>
      <c r="J43" s="43"/>
      <c r="M43" s="22"/>
      <c r="R43" s="145">
        <v>36</v>
      </c>
      <c r="S43" s="146">
        <v>0.29500000000000015</v>
      </c>
      <c r="T43" s="147">
        <v>0.52</v>
      </c>
      <c r="U43" s="147">
        <f t="shared" si="0"/>
        <v>0.52259415500000039</v>
      </c>
      <c r="V43" s="148">
        <v>4.58</v>
      </c>
      <c r="W43" s="147">
        <f t="shared" si="1"/>
        <v>4.5636080712937215</v>
      </c>
      <c r="X43" s="122"/>
      <c r="Y43" s="145">
        <v>36</v>
      </c>
      <c r="Z43" s="146">
        <v>0.30500000000000016</v>
      </c>
      <c r="AA43" s="147">
        <v>0.51</v>
      </c>
      <c r="AB43" s="147">
        <f t="shared" si="2"/>
        <v>0.5122271350000005</v>
      </c>
      <c r="AC43" s="148">
        <v>4.7</v>
      </c>
      <c r="AD43" s="147">
        <f t="shared" si="3"/>
        <v>4.6967475314315692</v>
      </c>
      <c r="AE43" s="33"/>
      <c r="AF43" s="33"/>
      <c r="AG43" s="33"/>
      <c r="AH43" s="33"/>
      <c r="AI43" s="33"/>
      <c r="AJ43" s="33"/>
      <c r="AK43" s="33"/>
      <c r="AL43" s="13"/>
      <c r="AM43" s="13"/>
      <c r="AN43" s="13"/>
      <c r="AO43" s="13"/>
      <c r="AP43" s="13"/>
      <c r="AQ43" s="13"/>
      <c r="AR43" s="13"/>
      <c r="AS43" s="13"/>
      <c r="AT43" s="13"/>
      <c r="AU43" s="13"/>
      <c r="AV43" s="13"/>
      <c r="AW43" s="13"/>
      <c r="AX43" s="13"/>
      <c r="AY43" s="13"/>
      <c r="AZ43" s="13"/>
      <c r="BA43" s="13"/>
      <c r="BB43" s="13"/>
      <c r="BC43" s="13"/>
    </row>
    <row r="44" spans="1:55">
      <c r="A44" s="10" t="s">
        <v>96</v>
      </c>
      <c r="J44" s="43"/>
      <c r="M44" s="22"/>
      <c r="R44" s="145">
        <v>37</v>
      </c>
      <c r="S44" s="146">
        <v>0.30000000000000016</v>
      </c>
      <c r="T44" s="147">
        <v>0.53300000000000003</v>
      </c>
      <c r="U44" s="147">
        <f t="shared" si="0"/>
        <v>0.53488800000000047</v>
      </c>
      <c r="V44" s="148">
        <v>4.7</v>
      </c>
      <c r="W44" s="147">
        <f t="shared" si="1"/>
        <v>4.7082799999999665</v>
      </c>
      <c r="X44" s="122"/>
      <c r="Y44" s="145">
        <v>37</v>
      </c>
      <c r="Z44" s="146">
        <v>0.31000000000000016</v>
      </c>
      <c r="AA44" s="147">
        <v>0.52200000000000002</v>
      </c>
      <c r="AB44" s="147">
        <f t="shared" si="2"/>
        <v>0.52469414000000025</v>
      </c>
      <c r="AC44" s="148">
        <v>4.84</v>
      </c>
      <c r="AD44" s="147">
        <f t="shared" si="3"/>
        <v>4.8583260103100123</v>
      </c>
      <c r="AE44" s="33"/>
      <c r="AF44" s="33"/>
      <c r="AG44" s="33"/>
      <c r="AH44" s="33"/>
      <c r="AI44" s="33"/>
      <c r="AJ44" s="33"/>
      <c r="AK44" s="33"/>
      <c r="AL44" s="13"/>
      <c r="AM44" s="13"/>
      <c r="AN44" s="13"/>
      <c r="AO44" s="13"/>
      <c r="AP44" s="13"/>
      <c r="AQ44" s="13"/>
      <c r="AR44" s="13"/>
      <c r="AS44" s="13"/>
      <c r="AT44" s="13"/>
      <c r="AU44" s="13"/>
      <c r="AV44" s="13"/>
      <c r="AW44" s="13"/>
      <c r="AX44" s="13"/>
      <c r="AY44" s="13"/>
      <c r="AZ44" s="13"/>
      <c r="BA44" s="13"/>
      <c r="BB44" s="13"/>
      <c r="BC44" s="13"/>
    </row>
    <row r="45" spans="1:55">
      <c r="A45" s="12"/>
      <c r="B45" s="48" t="s">
        <v>97</v>
      </c>
      <c r="C45" s="94">
        <f>$C$42*$C$13</f>
        <v>735.2456417547387</v>
      </c>
      <c r="D45" s="20" t="s">
        <v>166</v>
      </c>
      <c r="E45" s="33" t="s">
        <v>98</v>
      </c>
      <c r="H45" s="11"/>
      <c r="J45" s="43"/>
      <c r="M45" s="22"/>
      <c r="R45" s="145">
        <v>38</v>
      </c>
      <c r="S45" s="146">
        <v>0.30500000000000016</v>
      </c>
      <c r="T45" s="147">
        <v>0.54500000000000004</v>
      </c>
      <c r="U45" s="147">
        <f t="shared" si="0"/>
        <v>0.54702435500000046</v>
      </c>
      <c r="V45" s="148">
        <v>4.8499999999999996</v>
      </c>
      <c r="W45" s="147">
        <f t="shared" si="1"/>
        <v>4.862847359956227</v>
      </c>
      <c r="X45" s="122"/>
      <c r="Y45" s="145">
        <v>38</v>
      </c>
      <c r="Z45" s="146">
        <v>0.31500000000000017</v>
      </c>
      <c r="AA45" s="147">
        <v>0.53500000000000003</v>
      </c>
      <c r="AB45" s="147">
        <f t="shared" si="2"/>
        <v>0.5370270150000005</v>
      </c>
      <c r="AC45" s="148">
        <v>4.9800000000000004</v>
      </c>
      <c r="AD45" s="147">
        <f t="shared" si="3"/>
        <v>5.0296827071822037</v>
      </c>
      <c r="AE45" s="33"/>
      <c r="AF45" s="33"/>
      <c r="AG45" s="33"/>
      <c r="AH45" s="33"/>
      <c r="AI45" s="33"/>
      <c r="AJ45" s="33"/>
      <c r="AK45" s="33"/>
      <c r="AL45" s="13"/>
      <c r="AM45" s="13"/>
      <c r="AN45" s="13"/>
      <c r="AO45" s="13"/>
      <c r="AP45" s="13"/>
      <c r="AQ45" s="13"/>
      <c r="AR45" s="13"/>
      <c r="AS45" s="13"/>
      <c r="AT45" s="13"/>
      <c r="AU45" s="13"/>
      <c r="AV45" s="13"/>
      <c r="AW45" s="13"/>
      <c r="AX45" s="13"/>
      <c r="AY45" s="13"/>
      <c r="AZ45" s="13"/>
      <c r="BA45" s="13"/>
      <c r="BB45" s="13"/>
      <c r="BC45" s="13"/>
    </row>
    <row r="46" spans="1:55">
      <c r="A46" s="12"/>
      <c r="B46" s="48" t="s">
        <v>99</v>
      </c>
      <c r="C46" s="91">
        <f>($C$33-$C$41)*$C$18</f>
        <v>0</v>
      </c>
      <c r="D46" s="20" t="s">
        <v>166</v>
      </c>
      <c r="E46" s="33" t="s">
        <v>100</v>
      </c>
      <c r="H46" s="11"/>
      <c r="J46" s="43"/>
      <c r="M46" s="22"/>
      <c r="R46" s="145">
        <v>39</v>
      </c>
      <c r="S46" s="146">
        <v>0.31000000000000016</v>
      </c>
      <c r="T46" s="147">
        <v>0.55800000000000005</v>
      </c>
      <c r="U46" s="147">
        <f t="shared" si="0"/>
        <v>0.55900322000000058</v>
      </c>
      <c r="V46" s="148">
        <v>5.03</v>
      </c>
      <c r="W46" s="147">
        <f t="shared" si="1"/>
        <v>5.0286742685999783</v>
      </c>
      <c r="X46" s="122"/>
      <c r="Y46" s="145">
        <v>39</v>
      </c>
      <c r="Z46" s="146">
        <v>0.32000000000000017</v>
      </c>
      <c r="AA46" s="147">
        <v>0.54800000000000004</v>
      </c>
      <c r="AB46" s="147">
        <f t="shared" si="2"/>
        <v>0.54922576000000056</v>
      </c>
      <c r="AC46" s="148">
        <v>5.18</v>
      </c>
      <c r="AD46" s="147">
        <f t="shared" si="3"/>
        <v>5.2115944819199989</v>
      </c>
      <c r="AE46" s="33"/>
      <c r="AF46" s="33"/>
      <c r="AG46" s="33"/>
      <c r="AH46" s="33"/>
      <c r="AI46" s="33"/>
      <c r="AJ46" s="33"/>
      <c r="AK46" s="33"/>
      <c r="AL46" s="13"/>
      <c r="AM46" s="13"/>
      <c r="AN46" s="13"/>
      <c r="AO46" s="13"/>
      <c r="AP46" s="13"/>
      <c r="AQ46" s="13"/>
      <c r="AR46" s="13"/>
      <c r="AS46" s="13"/>
      <c r="AT46" s="13"/>
      <c r="AU46" s="13"/>
      <c r="AV46" s="13"/>
      <c r="AW46" s="13"/>
      <c r="AX46" s="13"/>
      <c r="AY46" s="13"/>
      <c r="AZ46" s="13"/>
      <c r="BA46" s="13"/>
      <c r="BB46" s="13"/>
      <c r="BC46" s="13"/>
    </row>
    <row r="47" spans="1:55">
      <c r="A47" s="12"/>
      <c r="B47" s="48" t="s">
        <v>101</v>
      </c>
      <c r="C47" s="91">
        <f>($C$33-$C$41)*$C$14*$C$15</f>
        <v>0</v>
      </c>
      <c r="D47" s="20" t="s">
        <v>166</v>
      </c>
      <c r="E47" s="33" t="s">
        <v>102</v>
      </c>
      <c r="J47" s="43"/>
      <c r="M47" s="22"/>
      <c r="R47" s="145">
        <v>40</v>
      </c>
      <c r="S47" s="146">
        <v>0.31500000000000017</v>
      </c>
      <c r="T47" s="147">
        <v>0.56899999999999995</v>
      </c>
      <c r="U47" s="147">
        <f t="shared" si="0"/>
        <v>0.5708245950000006</v>
      </c>
      <c r="V47" s="148">
        <v>5.23</v>
      </c>
      <c r="W47" s="147">
        <f t="shared" si="1"/>
        <v>5.2072823381187803</v>
      </c>
      <c r="X47" s="122"/>
      <c r="Y47" s="145">
        <v>40</v>
      </c>
      <c r="Z47" s="146">
        <v>0.32500000000000018</v>
      </c>
      <c r="AA47" s="147">
        <v>0.56000000000000005</v>
      </c>
      <c r="AB47" s="147">
        <f t="shared" si="2"/>
        <v>0.56129037500000045</v>
      </c>
      <c r="AC47" s="148">
        <v>5.4</v>
      </c>
      <c r="AD47" s="147">
        <f t="shared" si="3"/>
        <v>5.4048928642578105</v>
      </c>
      <c r="AE47" s="33"/>
      <c r="AF47" s="33"/>
      <c r="AG47" s="33"/>
      <c r="AH47" s="33"/>
      <c r="AI47" s="33"/>
      <c r="AJ47" s="33"/>
      <c r="AK47" s="33"/>
      <c r="AL47" s="13"/>
      <c r="AM47" s="13"/>
      <c r="AN47" s="13"/>
      <c r="AO47" s="13"/>
      <c r="AP47" s="13"/>
      <c r="AQ47" s="13"/>
      <c r="AR47" s="13"/>
      <c r="AS47" s="13"/>
      <c r="AT47" s="13"/>
      <c r="AU47" s="13"/>
      <c r="AV47" s="13"/>
      <c r="AW47" s="13"/>
      <c r="AX47" s="13"/>
      <c r="AY47" s="13"/>
      <c r="AZ47" s="13"/>
      <c r="BA47" s="13"/>
      <c r="BB47" s="13"/>
      <c r="BC47" s="13"/>
    </row>
    <row r="48" spans="1:55">
      <c r="A48" s="12"/>
      <c r="B48" s="48" t="s">
        <v>103</v>
      </c>
      <c r="C48" s="93">
        <f>$C$34*$C$13</f>
        <v>1029.3438984566342</v>
      </c>
      <c r="D48" s="20" t="s">
        <v>166</v>
      </c>
      <c r="E48" s="33" t="s">
        <v>104</v>
      </c>
      <c r="H48" s="11"/>
      <c r="J48" s="43"/>
      <c r="M48" s="22"/>
      <c r="R48" s="145">
        <v>41</v>
      </c>
      <c r="S48" s="146">
        <v>0.32000000000000017</v>
      </c>
      <c r="T48" s="147">
        <v>0.57999999999999996</v>
      </c>
      <c r="U48" s="147">
        <f t="shared" si="0"/>
        <v>0.58248848000000053</v>
      </c>
      <c r="V48" s="148">
        <v>5.41</v>
      </c>
      <c r="W48" s="147">
        <f t="shared" si="1"/>
        <v>5.4003589951999373</v>
      </c>
      <c r="X48" s="122"/>
      <c r="Y48" s="145">
        <v>41</v>
      </c>
      <c r="Z48" s="146">
        <v>0.33000000000000018</v>
      </c>
      <c r="AA48" s="147">
        <v>0.57399999999999995</v>
      </c>
      <c r="AB48" s="147">
        <f t="shared" si="2"/>
        <v>0.57322086000000061</v>
      </c>
      <c r="AC48" s="148">
        <v>5.65</v>
      </c>
      <c r="AD48" s="147">
        <f t="shared" si="3"/>
        <v>5.6104661343300091</v>
      </c>
      <c r="AE48" s="33"/>
      <c r="AF48" s="33"/>
      <c r="AG48" s="33"/>
      <c r="AH48" s="33"/>
      <c r="AI48" s="33"/>
      <c r="AJ48" s="33"/>
      <c r="AK48" s="33"/>
      <c r="AL48" s="13"/>
      <c r="AM48" s="13"/>
      <c r="AN48" s="13"/>
      <c r="AO48" s="13"/>
      <c r="AP48" s="13"/>
      <c r="AQ48" s="13"/>
      <c r="AR48" s="13"/>
      <c r="AS48" s="13"/>
      <c r="AT48" s="13"/>
      <c r="AU48" s="13"/>
      <c r="AV48" s="13"/>
      <c r="AW48" s="13"/>
      <c r="AX48" s="13"/>
      <c r="AY48" s="13"/>
      <c r="AZ48" s="13"/>
      <c r="BA48" s="13"/>
      <c r="BB48" s="13"/>
      <c r="BC48" s="13"/>
    </row>
    <row r="49" spans="1:55">
      <c r="A49" s="12"/>
      <c r="H49" s="95"/>
      <c r="J49" s="43"/>
      <c r="M49" s="22"/>
      <c r="R49" s="145">
        <v>42</v>
      </c>
      <c r="S49" s="146">
        <v>0.32500000000000018</v>
      </c>
      <c r="T49" s="147">
        <v>0.59199999999999997</v>
      </c>
      <c r="U49" s="147">
        <f t="shared" si="0"/>
        <v>0.59399487500000037</v>
      </c>
      <c r="V49" s="148">
        <v>5.6</v>
      </c>
      <c r="W49" s="147">
        <f t="shared" si="1"/>
        <v>5.6097658007812541</v>
      </c>
      <c r="X49" s="122"/>
      <c r="Y49" s="145">
        <v>42</v>
      </c>
      <c r="Z49" s="146">
        <v>0.33500000000000019</v>
      </c>
      <c r="AA49" s="147">
        <v>0.58499999999999996</v>
      </c>
      <c r="AB49" s="147">
        <f t="shared" si="2"/>
        <v>0.58501721500000059</v>
      </c>
      <c r="AC49" s="148">
        <v>5.85</v>
      </c>
      <c r="AD49" s="147">
        <f t="shared" si="3"/>
        <v>5.8292614032084362</v>
      </c>
      <c r="AE49" s="33"/>
      <c r="AF49" s="33"/>
      <c r="AG49" s="33"/>
      <c r="AH49" s="33"/>
      <c r="AI49" s="33"/>
      <c r="AJ49" s="33"/>
      <c r="AK49" s="33"/>
      <c r="AL49" s="13"/>
      <c r="AM49" s="13"/>
      <c r="AN49" s="13"/>
      <c r="AO49" s="13"/>
      <c r="AP49" s="13"/>
      <c r="AQ49" s="13"/>
      <c r="AR49" s="13"/>
      <c r="AS49" s="13"/>
      <c r="AT49" s="13"/>
      <c r="AU49" s="13"/>
      <c r="AV49" s="13"/>
      <c r="AW49" s="13"/>
      <c r="AX49" s="13"/>
      <c r="AY49" s="13"/>
      <c r="AZ49" s="13"/>
      <c r="BA49" s="13"/>
      <c r="BB49" s="13"/>
      <c r="BC49" s="13"/>
    </row>
    <row r="50" spans="1:55">
      <c r="A50" s="96" t="s">
        <v>25</v>
      </c>
      <c r="H50" s="95"/>
      <c r="J50" s="43"/>
      <c r="M50" s="22"/>
      <c r="R50" s="145">
        <v>43</v>
      </c>
      <c r="S50" s="146">
        <v>0.33000000000000018</v>
      </c>
      <c r="T50" s="147">
        <v>0.60399999999999998</v>
      </c>
      <c r="U50" s="147">
        <f t="shared" si="0"/>
        <v>0.60534378000000033</v>
      </c>
      <c r="V50" s="148">
        <v>5.8</v>
      </c>
      <c r="W50" s="147">
        <f t="shared" si="1"/>
        <v>5.837546769800035</v>
      </c>
      <c r="X50" s="122"/>
      <c r="Y50" s="145">
        <v>43</v>
      </c>
      <c r="Z50" s="146">
        <v>0.34000000000000019</v>
      </c>
      <c r="AA50" s="147">
        <v>0.6</v>
      </c>
      <c r="AB50" s="147">
        <f t="shared" si="2"/>
        <v>0.59667944000000039</v>
      </c>
      <c r="AC50" s="148">
        <v>6.12</v>
      </c>
      <c r="AD50" s="147">
        <f t="shared" si="3"/>
        <v>6.0622866934400275</v>
      </c>
      <c r="AE50" s="33"/>
      <c r="AF50" s="33"/>
      <c r="AG50" s="33"/>
      <c r="AH50" s="33"/>
      <c r="AI50" s="33"/>
      <c r="AJ50" s="33"/>
      <c r="AK50" s="33"/>
      <c r="AL50" s="13"/>
      <c r="AM50" s="13"/>
      <c r="AN50" s="13"/>
      <c r="AO50" s="13"/>
      <c r="AP50" s="13"/>
      <c r="AQ50" s="13"/>
      <c r="AR50" s="13"/>
      <c r="AS50" s="13"/>
      <c r="AT50" s="13"/>
      <c r="AU50" s="13"/>
      <c r="AV50" s="13"/>
      <c r="AW50" s="13"/>
      <c r="AX50" s="13"/>
      <c r="AY50" s="13"/>
      <c r="AZ50" s="13"/>
      <c r="BA50" s="13"/>
      <c r="BB50" s="13"/>
      <c r="BC50" s="13"/>
    </row>
    <row r="51" spans="1:55">
      <c r="A51" s="12"/>
      <c r="B51" s="25" t="s">
        <v>105</v>
      </c>
      <c r="C51" s="94">
        <f>$C$22+$C$45+$C$46+$C$47+$C$48</f>
        <v>4929.3395402113729</v>
      </c>
      <c r="D51" s="30" t="s">
        <v>166</v>
      </c>
      <c r="E51" s="33" t="s">
        <v>106</v>
      </c>
      <c r="J51" s="43"/>
      <c r="M51" s="22"/>
      <c r="R51" s="145">
        <v>44</v>
      </c>
      <c r="S51" s="146">
        <v>0.33500000000000019</v>
      </c>
      <c r="T51" s="147">
        <v>0.61699999999999999</v>
      </c>
      <c r="U51" s="147">
        <f t="shared" si="0"/>
        <v>0.61653519500000065</v>
      </c>
      <c r="V51" s="148">
        <v>6.05</v>
      </c>
      <c r="W51" s="147">
        <f t="shared" si="1"/>
        <v>6.0859366909437327</v>
      </c>
      <c r="X51" s="122"/>
      <c r="Y51" s="145">
        <v>44</v>
      </c>
      <c r="Z51" s="146">
        <v>0.3450000000000002</v>
      </c>
      <c r="AA51" s="147">
        <v>0.61</v>
      </c>
      <c r="AB51" s="147">
        <f t="shared" si="2"/>
        <v>0.60820753500000047</v>
      </c>
      <c r="AC51" s="148">
        <v>6.35</v>
      </c>
      <c r="AD51" s="147">
        <f t="shared" si="3"/>
        <v>6.3106130195840766</v>
      </c>
      <c r="AE51" s="33"/>
      <c r="AF51" s="33"/>
      <c r="AG51" s="33"/>
      <c r="AH51" s="33"/>
      <c r="AI51" s="33"/>
      <c r="AJ51" s="33"/>
      <c r="AK51" s="33"/>
      <c r="AL51" s="13"/>
      <c r="AM51" s="13"/>
      <c r="AN51" s="13"/>
      <c r="AO51" s="13"/>
      <c r="AP51" s="13"/>
      <c r="AQ51" s="13"/>
      <c r="AR51" s="13"/>
      <c r="AS51" s="13"/>
      <c r="AT51" s="13"/>
      <c r="AU51" s="13"/>
      <c r="AV51" s="13"/>
      <c r="AW51" s="13"/>
      <c r="AX51" s="13"/>
      <c r="AY51" s="13"/>
      <c r="AZ51" s="13"/>
      <c r="BA51" s="13"/>
      <c r="BB51" s="13"/>
      <c r="BC51" s="13"/>
    </row>
    <row r="52" spans="1:55">
      <c r="A52" s="12"/>
      <c r="B52" s="25" t="s">
        <v>107</v>
      </c>
      <c r="C52" s="91">
        <f>$C$24+$C$23*($C$12+$C$10)</f>
        <v>2141.7200000000003</v>
      </c>
      <c r="D52" s="30" t="s">
        <v>167</v>
      </c>
      <c r="E52" s="33" t="s">
        <v>108</v>
      </c>
      <c r="J52" s="43"/>
      <c r="M52" s="22"/>
      <c r="R52" s="145">
        <v>45</v>
      </c>
      <c r="S52" s="146">
        <v>0.34000000000000019</v>
      </c>
      <c r="T52" s="147">
        <v>0.63</v>
      </c>
      <c r="U52" s="147">
        <f t="shared" si="0"/>
        <v>0.62756912000000042</v>
      </c>
      <c r="V52" s="148">
        <v>6.38</v>
      </c>
      <c r="W52" s="147">
        <f t="shared" si="1"/>
        <v>6.3573694464000354</v>
      </c>
      <c r="X52" s="122"/>
      <c r="Y52" s="152">
        <v>45</v>
      </c>
      <c r="Z52" s="153">
        <v>0.3500000000000002</v>
      </c>
      <c r="AA52" s="154">
        <v>0.62</v>
      </c>
      <c r="AB52" s="154">
        <f t="shared" si="2"/>
        <v>0.61960150000000058</v>
      </c>
      <c r="AC52" s="155">
        <v>6.5</v>
      </c>
      <c r="AD52" s="154">
        <f t="shared" si="3"/>
        <v>6.5753764687500063</v>
      </c>
      <c r="AE52" s="33"/>
      <c r="AF52" s="33"/>
      <c r="AG52" s="33"/>
      <c r="AH52" s="33"/>
      <c r="AI52" s="33"/>
      <c r="AJ52" s="33"/>
      <c r="AK52" s="33"/>
      <c r="AL52" s="13"/>
      <c r="AM52" s="13"/>
      <c r="AN52" s="13"/>
      <c r="AO52" s="13"/>
      <c r="AP52" s="13"/>
      <c r="AQ52" s="13"/>
      <c r="AR52" s="13"/>
      <c r="AS52" s="13"/>
      <c r="AT52" s="13"/>
      <c r="AU52" s="13"/>
      <c r="AV52" s="13"/>
      <c r="AW52" s="13"/>
      <c r="AX52" s="13"/>
      <c r="AY52" s="13"/>
      <c r="AZ52" s="13"/>
      <c r="BA52" s="13"/>
      <c r="BB52" s="13"/>
      <c r="BC52" s="13"/>
    </row>
    <row r="53" spans="1:55">
      <c r="A53" s="12"/>
      <c r="B53" s="25" t="s">
        <v>109</v>
      </c>
      <c r="C53" s="91">
        <f>$C$52/$C$51</f>
        <v>0.43448417024812253</v>
      </c>
      <c r="D53" s="90" t="s">
        <v>160</v>
      </c>
      <c r="E53" s="92" t="s">
        <v>110</v>
      </c>
      <c r="F53" s="31"/>
      <c r="J53" s="43"/>
      <c r="M53" s="22"/>
      <c r="R53" s="145">
        <v>46</v>
      </c>
      <c r="S53" s="146">
        <v>0.3450000000000002</v>
      </c>
      <c r="T53" s="147">
        <v>0.64200000000000002</v>
      </c>
      <c r="U53" s="147">
        <f t="shared" si="0"/>
        <v>0.63844555500000055</v>
      </c>
      <c r="V53" s="148">
        <v>6.65</v>
      </c>
      <c r="W53" s="147">
        <f t="shared" si="1"/>
        <v>6.6544863316062148</v>
      </c>
      <c r="X53" s="122"/>
      <c r="Y53" s="156"/>
      <c r="Z53" s="111"/>
      <c r="AA53" s="123"/>
      <c r="AB53" s="123"/>
      <c r="AC53" s="123"/>
      <c r="AD53" s="123"/>
      <c r="AE53" s="33"/>
      <c r="AF53" s="33"/>
      <c r="AG53" s="33"/>
      <c r="AH53" s="33"/>
      <c r="AI53" s="33"/>
      <c r="AJ53" s="33"/>
      <c r="AK53" s="33"/>
      <c r="AL53" s="13"/>
      <c r="AM53" s="13"/>
      <c r="AN53" s="13"/>
      <c r="AO53" s="13"/>
      <c r="AP53" s="13"/>
      <c r="AQ53" s="13"/>
      <c r="AR53" s="13"/>
      <c r="AS53" s="13"/>
      <c r="AT53" s="13"/>
      <c r="AU53" s="13"/>
      <c r="AV53" s="13"/>
      <c r="AW53" s="13"/>
      <c r="AX53" s="13"/>
      <c r="AY53" s="13"/>
      <c r="AZ53" s="13"/>
      <c r="BA53" s="13"/>
      <c r="BB53" s="13"/>
      <c r="BC53" s="13"/>
    </row>
    <row r="54" spans="1:55">
      <c r="A54" s="12"/>
      <c r="B54" s="25" t="s">
        <v>151</v>
      </c>
      <c r="C54" s="98">
        <f>ROUND($C$53/$C$9,4)</f>
        <v>5.0500000000000003E-2</v>
      </c>
      <c r="D54" s="90"/>
      <c r="E54" s="11" t="s">
        <v>152</v>
      </c>
      <c r="F54" s="31"/>
      <c r="J54" s="43"/>
      <c r="M54" s="22"/>
      <c r="R54" s="152">
        <v>47</v>
      </c>
      <c r="S54" s="153">
        <v>0.3500000000000002</v>
      </c>
      <c r="T54" s="154">
        <v>0.65</v>
      </c>
      <c r="U54" s="154">
        <f t="shared" si="0"/>
        <v>0.64916450000000037</v>
      </c>
      <c r="V54" s="155">
        <v>7</v>
      </c>
      <c r="W54" s="154">
        <f t="shared" si="1"/>
        <v>6.9801443749999876</v>
      </c>
      <c r="X54" s="122"/>
      <c r="Y54" s="156"/>
      <c r="Z54" s="111"/>
      <c r="AA54" s="123"/>
      <c r="AB54" s="123"/>
      <c r="AC54" s="123"/>
      <c r="AD54" s="123"/>
      <c r="AE54" s="33"/>
      <c r="AF54" s="33"/>
      <c r="AG54" s="33"/>
      <c r="AH54" s="33"/>
      <c r="AI54" s="33"/>
      <c r="AJ54" s="33"/>
      <c r="AK54" s="33"/>
      <c r="AL54" s="13"/>
      <c r="AM54" s="13"/>
      <c r="AN54" s="13"/>
      <c r="AO54" s="13"/>
      <c r="AP54" s="13"/>
      <c r="AQ54" s="13"/>
      <c r="AR54" s="13"/>
      <c r="AS54" s="13"/>
      <c r="AT54" s="13"/>
      <c r="AU54" s="13"/>
      <c r="AV54" s="13"/>
      <c r="AW54" s="13"/>
      <c r="AX54" s="13"/>
      <c r="AY54" s="13"/>
      <c r="AZ54" s="13"/>
      <c r="BA54" s="13"/>
      <c r="BB54" s="13"/>
      <c r="BC54" s="13"/>
    </row>
    <row r="55" spans="1:55">
      <c r="A55" s="29"/>
      <c r="B55" s="99"/>
      <c r="C55" s="16"/>
      <c r="D55" s="16"/>
      <c r="E55" s="16"/>
      <c r="F55" s="16"/>
      <c r="G55" s="16"/>
      <c r="H55" s="16"/>
      <c r="I55" s="16"/>
      <c r="J55" s="52" t="s">
        <v>7</v>
      </c>
      <c r="M55" s="22"/>
      <c r="R55" s="71"/>
      <c r="S55" s="111"/>
      <c r="T55" s="111"/>
      <c r="U55" s="111"/>
      <c r="V55" s="71"/>
      <c r="W55" s="112"/>
      <c r="X55" s="112"/>
      <c r="Y55" s="71"/>
      <c r="Z55" s="71"/>
      <c r="AA55" s="71"/>
      <c r="AD55" s="110"/>
      <c r="AE55" s="33"/>
      <c r="AF55" s="33"/>
      <c r="AG55" s="33"/>
      <c r="AH55" s="33"/>
      <c r="AI55" s="33"/>
      <c r="AJ55" s="33"/>
      <c r="AK55" s="33"/>
      <c r="AL55" s="13"/>
      <c r="AM55" s="13"/>
      <c r="AN55" s="13"/>
      <c r="AO55" s="13"/>
      <c r="AP55" s="13"/>
      <c r="AQ55" s="13"/>
      <c r="AR55" s="13"/>
      <c r="AS55" s="13"/>
      <c r="AT55" s="13"/>
      <c r="AU55" s="13"/>
      <c r="AV55" s="13"/>
      <c r="AW55" s="13"/>
      <c r="AX55" s="13"/>
      <c r="AY55" s="13"/>
      <c r="AZ55" s="13"/>
      <c r="BA55" s="13"/>
      <c r="BB55" s="13"/>
      <c r="BC55" s="13"/>
    </row>
    <row r="56" spans="1:55">
      <c r="A56" s="26"/>
      <c r="B56" s="27"/>
      <c r="C56" s="27"/>
      <c r="D56" s="27"/>
      <c r="E56" s="27"/>
      <c r="F56" s="27"/>
      <c r="G56" s="27"/>
      <c r="H56" s="27"/>
      <c r="I56" s="27"/>
      <c r="J56" s="101"/>
      <c r="M56" s="22"/>
      <c r="R56" s="110"/>
      <c r="S56" s="157" t="s">
        <v>111</v>
      </c>
      <c r="T56" s="111"/>
      <c r="U56" s="111"/>
      <c r="V56" s="71"/>
      <c r="W56" s="158"/>
      <c r="X56" s="158"/>
      <c r="Y56" s="71"/>
      <c r="Z56" s="157" t="s">
        <v>111</v>
      </c>
      <c r="AA56" s="71"/>
      <c r="AD56" s="110"/>
      <c r="AE56" s="33"/>
      <c r="AF56" s="33"/>
      <c r="AG56" s="33"/>
      <c r="AH56" s="33"/>
      <c r="AI56" s="33"/>
      <c r="AJ56" s="33"/>
      <c r="AK56" s="33"/>
      <c r="AL56" s="13"/>
      <c r="AM56" s="13"/>
      <c r="AN56" s="13"/>
      <c r="AO56" s="13"/>
      <c r="AP56" s="13"/>
      <c r="AQ56" s="13"/>
      <c r="AR56" s="13"/>
      <c r="AS56" s="13"/>
      <c r="AT56" s="13"/>
      <c r="AU56" s="13"/>
      <c r="AV56" s="13"/>
      <c r="AW56" s="13"/>
      <c r="AX56" s="13"/>
      <c r="AY56" s="13"/>
      <c r="AZ56" s="13"/>
      <c r="BA56" s="13"/>
      <c r="BB56" s="13"/>
      <c r="BC56" s="13"/>
    </row>
    <row r="57" spans="1:55">
      <c r="A57" s="10" t="s">
        <v>24</v>
      </c>
      <c r="B57" s="11"/>
      <c r="D57" s="31"/>
      <c r="E57" s="104" t="s">
        <v>128</v>
      </c>
      <c r="F57" s="31"/>
      <c r="G57" s="11"/>
      <c r="H57" s="11"/>
      <c r="I57" s="11"/>
      <c r="J57" s="43"/>
      <c r="M57" s="22"/>
      <c r="R57" s="71"/>
      <c r="S57" s="111" t="str">
        <f>IF($C$54&gt;0.1221,VLOOKUP(MATCH($C$54,$S$8:$S$54,TRUE),$R$8:$V$54,2,FALSE),"N.A.")</f>
        <v>N.A.</v>
      </c>
      <c r="T57" s="89" t="str">
        <f>IF($C$54&gt;0.1221,VLOOKUP(MATCH($C$54,$S$8:$S$54,TRUE),$R$8:$V$54,3,FALSE),"N.A.")</f>
        <v>N.A.</v>
      </c>
      <c r="U57" s="89"/>
      <c r="V57" s="71"/>
      <c r="W57" s="158"/>
      <c r="X57" s="158"/>
      <c r="Y57" s="71"/>
      <c r="Z57" s="111" t="str">
        <f>IF($C$54&gt;0.1321,VLOOKUP(MATCH($C$54,$Z$8:$Z$52,TRUE),$Y$8:$AC$52,2,FALSE),"N.A.")</f>
        <v>N.A.</v>
      </c>
      <c r="AA57" s="89" t="str">
        <f>IF($C$54&gt;0.1321,VLOOKUP(MATCH($C$54,$Z$8:$Z$52,TRUE),$Y$8:$AC$52,3,FALSE),"N.A.")</f>
        <v>N.A.</v>
      </c>
      <c r="AB57" s="89"/>
      <c r="AD57" s="159"/>
      <c r="AE57" s="33"/>
      <c r="AF57" s="33"/>
      <c r="AG57" s="33"/>
      <c r="AH57" s="33"/>
      <c r="AI57" s="33"/>
      <c r="AJ57" s="33"/>
      <c r="AK57" s="33"/>
      <c r="AL57" s="13"/>
      <c r="AM57" s="13"/>
      <c r="AN57" s="13"/>
      <c r="AO57" s="13"/>
      <c r="AP57" s="13"/>
      <c r="AQ57" s="13"/>
      <c r="AR57" s="13"/>
      <c r="AS57" s="13"/>
      <c r="AT57" s="13"/>
      <c r="AU57" s="13"/>
      <c r="AV57" s="13"/>
      <c r="AW57" s="13"/>
      <c r="AX57" s="13"/>
      <c r="AY57" s="13"/>
      <c r="AZ57" s="13"/>
      <c r="BA57" s="13"/>
      <c r="BB57" s="13"/>
      <c r="BC57" s="13"/>
    </row>
    <row r="58" spans="1:55">
      <c r="A58" s="12"/>
      <c r="B58" s="81" t="s">
        <v>129</v>
      </c>
      <c r="C58" s="94">
        <f>($C$51-$C$46)*($C$9/2)</f>
        <v>21196.160022908902</v>
      </c>
      <c r="D58" s="30" t="s">
        <v>167</v>
      </c>
      <c r="E58" s="105" t="s">
        <v>130</v>
      </c>
      <c r="H58" s="31"/>
      <c r="J58" s="43"/>
      <c r="M58" s="22"/>
      <c r="R58" s="160" t="s">
        <v>115</v>
      </c>
      <c r="S58" s="111">
        <f>$C$54</f>
        <v>5.0500000000000003E-2</v>
      </c>
      <c r="T58" s="161" t="str">
        <f>IF($C$54&gt;0.1221,IF($S$57=$S$59,$S$57,($T$59-$T$57)*($S$58-$S$57)/($S$59-$S$57)+$T$57),"N.A.")</f>
        <v>N.A.</v>
      </c>
      <c r="U58" s="162" t="s">
        <v>116</v>
      </c>
      <c r="V58" s="71"/>
      <c r="W58" s="158"/>
      <c r="X58" s="158"/>
      <c r="Y58" s="160" t="s">
        <v>115</v>
      </c>
      <c r="Z58" s="111">
        <f>$C$54</f>
        <v>5.0500000000000003E-2</v>
      </c>
      <c r="AA58" s="161" t="str">
        <f>IF($C$54&gt;0.1321,IF($Z$57=$Z$59,$Z$57,($AA$59-$AA$57)*($Z$58-$Z$57)/($Z$59-$Z$57)+$AA$57),"N.A.")</f>
        <v>N.A.</v>
      </c>
      <c r="AB58" s="162" t="s">
        <v>116</v>
      </c>
      <c r="AD58" s="110"/>
      <c r="AE58" s="33"/>
      <c r="AF58" s="33"/>
      <c r="AG58" s="33"/>
      <c r="AH58" s="33"/>
      <c r="AI58" s="33"/>
      <c r="AJ58" s="33"/>
      <c r="AK58" s="33"/>
      <c r="AL58" s="13"/>
      <c r="AM58" s="13"/>
      <c r="AN58" s="13"/>
      <c r="AO58" s="13"/>
      <c r="AP58" s="13"/>
      <c r="AQ58" s="13"/>
      <c r="AR58" s="13"/>
      <c r="AS58" s="13"/>
      <c r="AT58" s="13"/>
      <c r="AU58" s="13"/>
      <c r="AV58" s="13"/>
      <c r="AW58" s="13"/>
      <c r="AX58" s="13"/>
      <c r="AY58" s="13"/>
      <c r="AZ58" s="13"/>
      <c r="BA58" s="13"/>
      <c r="BB58" s="13"/>
      <c r="BC58" s="13"/>
    </row>
    <row r="59" spans="1:55">
      <c r="A59" s="12"/>
      <c r="B59" s="81" t="s">
        <v>131</v>
      </c>
      <c r="C59" s="91">
        <f>$C$51*$C$53</f>
        <v>2141.7200000000003</v>
      </c>
      <c r="D59" s="30" t="s">
        <v>167</v>
      </c>
      <c r="E59" s="105" t="s">
        <v>132</v>
      </c>
      <c r="J59" s="43"/>
      <c r="M59" s="22"/>
      <c r="R59" s="160"/>
      <c r="S59" s="111" t="str">
        <f>IF($C$54&gt;0.1221,VLOOKUP(MATCH($C$54,$S$8:$S$54,TRUE)+1,$R$8:$V$54,2,FALSE),"N.A.")</f>
        <v>N.A.</v>
      </c>
      <c r="T59" s="89" t="str">
        <f>IF($C$54&gt;0.1221,VLOOKUP(MATCH($C$54,$S$8:$S$54,TRUE)+1,$R$8:$V$54,3,FALSE),"N.A.")</f>
        <v>N.A.</v>
      </c>
      <c r="U59" s="71"/>
      <c r="V59" s="71"/>
      <c r="W59" s="158"/>
      <c r="X59" s="158"/>
      <c r="Y59" s="160"/>
      <c r="Z59" s="111" t="str">
        <f>IF($C$54&gt;0.1321,VLOOKUP(MATCH($C$54,$Z$8:$Z$52,TRUE)+1,$Y$8:$AC$52,2,FALSE),"N.A.")</f>
        <v>N.A.</v>
      </c>
      <c r="AA59" s="89" t="str">
        <f>IF($C$54&gt;0.1321,VLOOKUP(MATCH($C$54,$Z$8:$Z$52,TRUE)+1,$Y$8:$AC$52,3,FALSE),"N.A.")</f>
        <v>N.A.</v>
      </c>
      <c r="AB59" s="89"/>
      <c r="AD59" s="110"/>
      <c r="AE59" s="33"/>
      <c r="AF59" s="33"/>
      <c r="AG59" s="33"/>
      <c r="AH59" s="33"/>
      <c r="AI59" s="33"/>
      <c r="AJ59" s="33"/>
      <c r="AK59" s="33"/>
      <c r="AL59" s="13"/>
      <c r="AM59" s="13"/>
      <c r="AN59" s="13"/>
      <c r="AO59" s="13"/>
      <c r="AP59" s="13"/>
      <c r="AQ59" s="13"/>
      <c r="AR59" s="13"/>
      <c r="AS59" s="13"/>
      <c r="AT59" s="13"/>
      <c r="AU59" s="13"/>
      <c r="AV59" s="13"/>
      <c r="AW59" s="13"/>
      <c r="AX59" s="13"/>
      <c r="AY59" s="13"/>
      <c r="AZ59" s="13"/>
      <c r="BA59" s="13"/>
      <c r="BB59" s="13"/>
      <c r="BC59" s="13"/>
    </row>
    <row r="60" spans="1:55">
      <c r="A60" s="12"/>
      <c r="B60" s="48" t="s">
        <v>133</v>
      </c>
      <c r="C60" s="93">
        <f>IF($C$59&gt;0,$C$58/$C$59,"N.A.")</f>
        <v>9.8967932423047369</v>
      </c>
      <c r="E60" s="11" t="s">
        <v>134</v>
      </c>
      <c r="J60" s="43"/>
      <c r="M60" s="22"/>
      <c r="R60" s="160"/>
      <c r="S60" s="157" t="s">
        <v>119</v>
      </c>
      <c r="T60" s="111"/>
      <c r="U60" s="111"/>
      <c r="V60" s="71"/>
      <c r="W60" s="158"/>
      <c r="X60" s="158"/>
      <c r="Y60" s="160"/>
      <c r="Z60" s="157" t="s">
        <v>119</v>
      </c>
      <c r="AA60" s="71"/>
      <c r="AD60" s="110"/>
      <c r="AE60" s="33"/>
      <c r="AF60" s="33"/>
      <c r="AG60" s="33"/>
      <c r="AH60" s="33"/>
      <c r="AI60" s="33"/>
      <c r="AJ60" s="33"/>
      <c r="AK60" s="33"/>
      <c r="AL60" s="13"/>
      <c r="AM60" s="13"/>
      <c r="AN60" s="13"/>
      <c r="AO60" s="13"/>
      <c r="AP60" s="13"/>
      <c r="AQ60" s="13"/>
      <c r="AR60" s="13"/>
      <c r="AS60" s="13"/>
      <c r="AT60" s="13"/>
      <c r="AU60" s="13"/>
      <c r="AV60" s="13"/>
      <c r="AW60" s="13"/>
      <c r="AX60" s="13"/>
      <c r="AY60" s="13"/>
      <c r="AZ60" s="13"/>
      <c r="BA60" s="13"/>
      <c r="BB60" s="13"/>
      <c r="BC60" s="13"/>
    </row>
    <row r="61" spans="1:55">
      <c r="A61" s="12"/>
      <c r="J61" s="43"/>
      <c r="M61" s="22"/>
      <c r="R61" s="160"/>
      <c r="S61" s="111" t="str">
        <f>IF($C$54&gt;0.1221,VLOOKUP(MATCH($C$54,$S$8:$S$54,TRUE),$R$8:$V$54,2,FALSE),"N.A.")</f>
        <v>N.A.</v>
      </c>
      <c r="T61" s="89" t="str">
        <f>IF($C$54&gt;0.1221,VLOOKUP(MATCH($C$54,$S$8:$S$54,TRUE),$R$8:$V$54,5,FALSE),"N.A.")</f>
        <v>N.A.</v>
      </c>
      <c r="U61" s="71"/>
      <c r="V61" s="71"/>
      <c r="W61" s="158"/>
      <c r="X61" s="158"/>
      <c r="Y61" s="160"/>
      <c r="Z61" s="111" t="str">
        <f>IF($C$54&gt;0.1321,VLOOKUP(MATCH($C$54,$Z$8:$Z$52,TRUE),$Y$8:$AC$52,2,FALSE),"N.A.")</f>
        <v>N.A.</v>
      </c>
      <c r="AA61" s="89" t="str">
        <f>IF($C$54&gt;0.1321,VLOOKUP(MATCH($C$54,$Z$8:$Z$52,TRUE),$Y$8:$AC$52,5,FALSE),"N.A.")</f>
        <v>N.A.</v>
      </c>
      <c r="AB61" s="89"/>
      <c r="AD61" s="159"/>
      <c r="AE61" s="33"/>
      <c r="AF61" s="33"/>
      <c r="AG61" s="33"/>
      <c r="AH61" s="33"/>
      <c r="AI61" s="33"/>
      <c r="AJ61" s="33"/>
      <c r="AK61" s="33"/>
      <c r="AL61" s="13"/>
      <c r="AM61" s="13"/>
      <c r="AN61" s="13"/>
      <c r="AO61" s="13"/>
      <c r="AP61" s="13"/>
      <c r="AQ61" s="13"/>
      <c r="AR61" s="13"/>
      <c r="AS61" s="13"/>
      <c r="AT61" s="13"/>
      <c r="AU61" s="13"/>
      <c r="AV61" s="13"/>
      <c r="AW61" s="13"/>
      <c r="AX61" s="13"/>
      <c r="AY61" s="13"/>
      <c r="AZ61" s="13"/>
      <c r="BA61" s="13"/>
      <c r="BB61" s="13"/>
      <c r="BC61" s="13"/>
    </row>
    <row r="62" spans="1:55">
      <c r="A62" s="10" t="s">
        <v>3</v>
      </c>
      <c r="E62" s="104" t="s">
        <v>128</v>
      </c>
      <c r="J62" s="43"/>
      <c r="M62" s="22"/>
      <c r="R62" s="160" t="s">
        <v>115</v>
      </c>
      <c r="S62" s="111">
        <f>$C$54</f>
        <v>5.0500000000000003E-2</v>
      </c>
      <c r="T62" s="161" t="str">
        <f>IF($C$54&gt;0.1221,IF($S$61=$S$63,$S$61,($T$63-$T$61)*($S$62-$S$61)/($S$63-$S$61)+$T$61),"N.A.")</f>
        <v>N.A.</v>
      </c>
      <c r="U62" s="162" t="s">
        <v>123</v>
      </c>
      <c r="V62" s="71"/>
      <c r="W62" s="158"/>
      <c r="X62" s="158"/>
      <c r="Y62" s="160" t="s">
        <v>115</v>
      </c>
      <c r="Z62" s="111">
        <f>$C$54</f>
        <v>5.0500000000000003E-2</v>
      </c>
      <c r="AA62" s="161" t="str">
        <f>IF($C$54&gt;0.1321,IF($Z$61=$Z$63,$Z$61,($AA$63-$AA$61)*($Z$62-$Z$61)/($Z$63-$Z$61)+$AA$61),"N.A.")</f>
        <v>N.A.</v>
      </c>
      <c r="AB62" s="162" t="s">
        <v>123</v>
      </c>
      <c r="AD62" s="110"/>
      <c r="AE62" s="33"/>
      <c r="AF62" s="33"/>
      <c r="AG62" s="33"/>
      <c r="AH62" s="33"/>
      <c r="AI62" s="33"/>
      <c r="AJ62" s="33"/>
      <c r="AK62" s="33"/>
      <c r="AL62" s="13"/>
      <c r="AM62" s="13"/>
      <c r="AN62" s="13"/>
      <c r="AO62" s="13"/>
      <c r="AP62" s="13"/>
      <c r="AQ62" s="13"/>
      <c r="AR62" s="13"/>
      <c r="AS62" s="13"/>
      <c r="AT62" s="13"/>
      <c r="AU62" s="13"/>
      <c r="AV62" s="13"/>
      <c r="AW62" s="13"/>
      <c r="AX62" s="13"/>
      <c r="AY62" s="13"/>
      <c r="AZ62" s="13"/>
      <c r="BA62" s="13"/>
      <c r="BB62" s="13"/>
      <c r="BC62" s="13"/>
    </row>
    <row r="63" spans="1:55">
      <c r="A63" s="12"/>
      <c r="B63" s="81" t="s">
        <v>135</v>
      </c>
      <c r="C63" s="94">
        <f>(1/2*$C$16*$C$15*$C$14^2)*$C$11+($C$10*($C$16*$C$15*$C$14+$C$16*$C$15*($C$14+$C$10))/2)*$C$9</f>
        <v>0</v>
      </c>
      <c r="D63" s="75" t="s">
        <v>166</v>
      </c>
      <c r="E63" s="33" t="s">
        <v>136</v>
      </c>
      <c r="J63" s="43"/>
      <c r="M63" s="22"/>
      <c r="R63" s="71"/>
      <c r="S63" s="111" t="str">
        <f>IF($C$54&gt;0.1221,VLOOKUP(MATCH($C$54,$S$8:$S$54,TRUE)+1,$R$8:$V$54,2,FALSE),"N.A.")</f>
        <v>N.A.</v>
      </c>
      <c r="T63" s="89" t="str">
        <f>IF($C$54&gt;0.1221,VLOOKUP(MATCH($C$54,$S$8:$S$54,TRUE)+1,$R$8:$V$54,5,FALSE),"N.A.")</f>
        <v>N.A.</v>
      </c>
      <c r="U63" s="89"/>
      <c r="V63" s="71"/>
      <c r="W63" s="158"/>
      <c r="X63" s="158"/>
      <c r="Y63" s="71"/>
      <c r="Z63" s="111" t="str">
        <f>IF($C$54&gt;0.1321,VLOOKUP(MATCH($C$54,$Z$8:$Z$52,TRUE)+1,$Y$8:$AC$52,2,FALSE),"N.A.")</f>
        <v>N.A.</v>
      </c>
      <c r="AA63" s="89" t="str">
        <f>IF($C$54&gt;0.1321,VLOOKUP(MATCH($C$54,$Z$8:$Z$52,TRUE)+1,$Y$8:$AC$52,5,FALSE),"N.A.")</f>
        <v>N.A.</v>
      </c>
      <c r="AB63" s="89"/>
      <c r="AD63" s="110"/>
      <c r="AE63" s="33"/>
      <c r="AF63" s="33"/>
      <c r="AG63" s="33"/>
      <c r="AH63" s="33"/>
      <c r="AI63" s="33"/>
      <c r="AJ63" s="33"/>
      <c r="AK63" s="33"/>
      <c r="AL63" s="13"/>
      <c r="AM63" s="13"/>
      <c r="AN63" s="13"/>
      <c r="AO63" s="13"/>
      <c r="AP63" s="13"/>
      <c r="AQ63" s="13"/>
      <c r="AR63" s="13"/>
      <c r="AS63" s="13"/>
      <c r="AT63" s="13"/>
      <c r="AU63" s="13"/>
      <c r="AV63" s="13"/>
      <c r="AW63" s="13"/>
      <c r="AX63" s="13"/>
      <c r="AY63" s="13"/>
      <c r="AZ63" s="13"/>
      <c r="BA63" s="13"/>
      <c r="BB63" s="13"/>
      <c r="BC63" s="13"/>
    </row>
    <row r="64" spans="1:55">
      <c r="A64" s="12"/>
      <c r="B64" s="81" t="s">
        <v>137</v>
      </c>
      <c r="C64" s="91">
        <f>($C$51-$C$46)*$C$17</f>
        <v>1971.7358160845492</v>
      </c>
      <c r="D64" s="75" t="s">
        <v>166</v>
      </c>
      <c r="E64" s="33" t="s">
        <v>138</v>
      </c>
      <c r="J64" s="43"/>
      <c r="M64" s="22"/>
      <c r="R64" s="71"/>
      <c r="S64" s="111"/>
      <c r="T64" s="111"/>
      <c r="U64" s="111"/>
      <c r="V64" s="71"/>
      <c r="W64" s="112"/>
      <c r="X64" s="112"/>
      <c r="Y64" s="71"/>
      <c r="Z64" s="71"/>
      <c r="AA64" s="71"/>
      <c r="AD64" s="110"/>
      <c r="AE64" s="33"/>
      <c r="AF64" s="33"/>
      <c r="AG64" s="33"/>
      <c r="AH64" s="33"/>
      <c r="AI64" s="33"/>
      <c r="AJ64" s="33"/>
      <c r="AK64" s="33"/>
      <c r="AL64" s="13"/>
      <c r="AM64" s="13"/>
      <c r="AN64" s="13"/>
      <c r="AO64" s="13"/>
      <c r="AP64" s="13"/>
      <c r="AQ64" s="13"/>
      <c r="AR64" s="13"/>
      <c r="AS64" s="13"/>
      <c r="AT64" s="13"/>
      <c r="AU64" s="13"/>
      <c r="AV64" s="13"/>
      <c r="AW64" s="13"/>
      <c r="AX64" s="13"/>
      <c r="AY64" s="13"/>
      <c r="AZ64" s="13"/>
      <c r="BA64" s="13"/>
      <c r="BB64" s="13"/>
      <c r="BC64" s="13"/>
    </row>
    <row r="65" spans="1:55">
      <c r="A65" s="12"/>
      <c r="B65" s="81" t="s">
        <v>139</v>
      </c>
      <c r="C65" s="93">
        <f>IF($C$23&gt;0,($C$63+$C$64)/$C$23,"N.A.")</f>
        <v>4.521292859629785</v>
      </c>
      <c r="E65" s="33" t="s">
        <v>150</v>
      </c>
      <c r="J65" s="43"/>
      <c r="R65" s="71"/>
      <c r="S65" s="111"/>
      <c r="T65" s="111"/>
      <c r="U65" s="111"/>
      <c r="V65" s="71"/>
      <c r="W65" s="112"/>
      <c r="X65" s="112"/>
      <c r="Y65" s="71"/>
      <c r="Z65" s="71"/>
      <c r="AA65" s="71"/>
      <c r="AD65" s="110"/>
      <c r="AE65" s="33"/>
      <c r="AF65" s="33"/>
      <c r="AG65" s="33"/>
      <c r="AH65" s="33"/>
      <c r="AI65" s="33"/>
      <c r="AJ65" s="33"/>
      <c r="AK65" s="33"/>
      <c r="AL65" s="13"/>
      <c r="AM65" s="13"/>
      <c r="AN65" s="13"/>
      <c r="AO65" s="13"/>
      <c r="AP65" s="13"/>
      <c r="AQ65" s="13"/>
      <c r="AR65" s="13"/>
      <c r="AS65" s="13"/>
      <c r="AT65" s="13"/>
      <c r="AU65" s="13"/>
      <c r="AV65" s="13"/>
      <c r="AW65" s="13"/>
      <c r="AX65" s="13"/>
      <c r="AY65" s="13"/>
      <c r="AZ65" s="13"/>
      <c r="BA65" s="13"/>
      <c r="BB65" s="13"/>
      <c r="BC65" s="13"/>
    </row>
    <row r="66" spans="1:55">
      <c r="A66" s="12"/>
      <c r="J66" s="43"/>
      <c r="R66" s="71"/>
      <c r="S66" s="111"/>
      <c r="T66" s="111"/>
      <c r="U66" s="111"/>
      <c r="V66" s="71"/>
      <c r="W66" s="112"/>
      <c r="X66" s="112"/>
      <c r="Y66" s="71"/>
      <c r="Z66" s="71"/>
      <c r="AA66" s="71"/>
      <c r="AD66" s="110"/>
      <c r="AE66" s="33"/>
      <c r="AF66" s="33"/>
      <c r="AG66" s="33"/>
      <c r="AH66" s="33"/>
      <c r="AI66" s="33"/>
      <c r="AJ66" s="33"/>
      <c r="AK66" s="33"/>
      <c r="AL66" s="13"/>
      <c r="AM66" s="13"/>
      <c r="AN66" s="13"/>
      <c r="AO66" s="13"/>
      <c r="AP66" s="13"/>
      <c r="AQ66" s="13"/>
      <c r="AR66" s="13"/>
      <c r="AS66" s="13"/>
      <c r="AT66" s="13"/>
      <c r="AU66" s="13"/>
      <c r="AV66" s="13"/>
      <c r="AW66" s="13"/>
      <c r="AX66" s="13"/>
      <c r="AY66" s="13"/>
      <c r="AZ66" s="13"/>
      <c r="BA66" s="13"/>
      <c r="BB66" s="13"/>
      <c r="BC66" s="13"/>
    </row>
    <row r="67" spans="1:55">
      <c r="A67" s="10" t="s">
        <v>112</v>
      </c>
      <c r="J67" s="43"/>
      <c r="V67" s="71"/>
      <c r="W67" s="112"/>
      <c r="X67" s="112"/>
      <c r="Y67" s="71"/>
      <c r="Z67" s="71"/>
      <c r="AA67" s="71"/>
      <c r="AD67" s="110"/>
      <c r="AE67" s="33"/>
      <c r="AF67" s="33"/>
      <c r="AG67" s="33"/>
      <c r="AH67" s="33"/>
      <c r="AI67" s="33"/>
      <c r="AJ67" s="33"/>
      <c r="AK67" s="33"/>
      <c r="AL67" s="13"/>
      <c r="AM67" s="13"/>
      <c r="AN67" s="13"/>
      <c r="AO67" s="13"/>
      <c r="AP67" s="13"/>
      <c r="AQ67" s="13"/>
      <c r="AR67" s="13"/>
      <c r="AS67" s="13"/>
      <c r="AT67" s="13"/>
      <c r="AU67" s="13"/>
      <c r="AV67" s="13"/>
      <c r="AW67" s="13"/>
      <c r="AX67" s="13"/>
      <c r="AY67" s="13"/>
      <c r="AZ67" s="13"/>
      <c r="BA67" s="13"/>
      <c r="BB67" s="13"/>
      <c r="BC67" s="13"/>
    </row>
    <row r="68" spans="1:55">
      <c r="A68" s="12"/>
      <c r="B68" s="48" t="s">
        <v>113</v>
      </c>
      <c r="C68" s="94">
        <f>$C$35/($C$32/2)</f>
        <v>64.332380293566047</v>
      </c>
      <c r="D68" s="90" t="s">
        <v>163</v>
      </c>
      <c r="E68" s="33" t="s">
        <v>114</v>
      </c>
      <c r="J68" s="43"/>
      <c r="V68" s="71"/>
      <c r="W68" s="112"/>
      <c r="X68" s="112"/>
      <c r="Y68" s="71"/>
      <c r="Z68" s="71"/>
      <c r="AA68" s="71"/>
      <c r="AD68" s="110"/>
      <c r="AE68" s="33"/>
      <c r="AF68" s="33"/>
      <c r="AG68" s="33"/>
      <c r="AH68" s="33"/>
      <c r="AI68" s="33"/>
      <c r="AJ68" s="33"/>
      <c r="AK68" s="33"/>
      <c r="AL68" s="13"/>
      <c r="AM68" s="13"/>
      <c r="AN68" s="13"/>
      <c r="AO68" s="13"/>
      <c r="AP68" s="13"/>
      <c r="AQ68" s="13"/>
      <c r="AR68" s="13"/>
      <c r="AS68" s="13"/>
      <c r="AT68" s="13"/>
      <c r="AU68" s="13"/>
      <c r="AV68" s="13"/>
      <c r="AW68" s="13"/>
      <c r="AX68" s="13"/>
      <c r="AY68" s="13"/>
      <c r="AZ68" s="13"/>
      <c r="BA68" s="13"/>
      <c r="BB68" s="13"/>
      <c r="BC68" s="13"/>
    </row>
    <row r="69" spans="1:55">
      <c r="A69" s="12"/>
      <c r="B69" s="48" t="s">
        <v>117</v>
      </c>
      <c r="C69" s="97">
        <f>IF($C$54&gt;0.1221,IFERROR($T$58,"Resize!"),0)</f>
        <v>0</v>
      </c>
      <c r="E69" s="33" t="s">
        <v>118</v>
      </c>
      <c r="J69" s="43"/>
      <c r="V69" s="71"/>
      <c r="W69" s="112"/>
      <c r="X69" s="112"/>
      <c r="Y69" s="71"/>
      <c r="Z69" s="71"/>
      <c r="AA69" s="71"/>
      <c r="AD69" s="110"/>
      <c r="AE69" s="33"/>
      <c r="AF69" s="33"/>
      <c r="AG69" s="33"/>
      <c r="AH69" s="33"/>
      <c r="AI69" s="33"/>
      <c r="AJ69" s="33"/>
      <c r="AK69" s="33"/>
      <c r="AL69" s="13"/>
      <c r="AM69" s="13"/>
      <c r="AN69" s="13"/>
      <c r="AO69" s="13"/>
      <c r="AP69" s="13"/>
      <c r="AQ69" s="13"/>
      <c r="AR69" s="13"/>
      <c r="AS69" s="13"/>
      <c r="AT69" s="13"/>
      <c r="AU69" s="13"/>
      <c r="AV69" s="13"/>
      <c r="AW69" s="13"/>
      <c r="AX69" s="13"/>
      <c r="AY69" s="13"/>
      <c r="AZ69" s="13"/>
      <c r="BA69" s="13"/>
      <c r="BB69" s="13"/>
      <c r="BC69" s="13"/>
    </row>
    <row r="70" spans="1:55">
      <c r="A70" s="12"/>
      <c r="B70" s="48" t="s">
        <v>153</v>
      </c>
      <c r="C70" s="97">
        <f>IF($C$54&gt;0.1221,IF($C$69="Resize!","Resize!",$T$58*$C$9),0)</f>
        <v>0</v>
      </c>
      <c r="D70" s="90" t="s">
        <v>160</v>
      </c>
      <c r="E70" s="33" t="s">
        <v>154</v>
      </c>
      <c r="J70" s="43"/>
      <c r="V70" s="71"/>
      <c r="W70" s="112"/>
      <c r="X70" s="112"/>
      <c r="Y70" s="71"/>
      <c r="Z70" s="71"/>
      <c r="AA70" s="71"/>
      <c r="AD70" s="110"/>
      <c r="AE70" s="33"/>
      <c r="AF70" s="33"/>
      <c r="AG70" s="33"/>
      <c r="AH70" s="33"/>
      <c r="AI70" s="33"/>
      <c r="AJ70" s="33"/>
      <c r="AK70" s="33"/>
      <c r="AL70" s="13"/>
      <c r="AM70" s="13"/>
      <c r="AN70" s="13"/>
      <c r="AO70" s="13"/>
      <c r="AP70" s="13"/>
      <c r="AQ70" s="13"/>
      <c r="AR70" s="13"/>
      <c r="AS70" s="13"/>
      <c r="AT70" s="13"/>
      <c r="AU70" s="13"/>
      <c r="AV70" s="13"/>
      <c r="AW70" s="13"/>
      <c r="AX70" s="13"/>
      <c r="AY70" s="13"/>
      <c r="AZ70" s="13"/>
      <c r="BA70" s="13"/>
      <c r="BB70" s="13"/>
      <c r="BC70" s="13"/>
    </row>
    <row r="71" spans="1:55">
      <c r="A71" s="12"/>
      <c r="B71" s="48" t="s">
        <v>35</v>
      </c>
      <c r="C71" s="91">
        <f>IF($C$70&lt;=0.65*$C$9,IF($C$70&lt;=$C$31*SIN(PI()/180*22.5),($C$33-1/2*($C$70/(TAN(PI()/180*22.5))*2)*($C$70))/$C$33*100,IF($C$70&lt;=$C$32/2,($C$33-((2*$C$31*COS(PI()/180*22.5)+($C$70-$C$31*SIN(PI()/180*22.5))*TAN(PI()/180*22.5))*($C$70-$C$31*SIN(PI()/180*22.5))+1/2*($C$31*(COS(PI()/180*22.5))*2)*($C$31*SIN(PI()/180*22.5))))/$C$33*100,($C$33/2-((($C$32-2*($C$70-$C$32/2)*TAN(PI()/180*22.5))+($C$70-$C$32/2)*TAN(PI()/180*22.5))*($C$70-$C$32/2)))/$C$33*100)),"Resize!")</f>
        <v>100</v>
      </c>
      <c r="D71" s="20" t="s">
        <v>26</v>
      </c>
      <c r="E71" s="33" t="s">
        <v>120</v>
      </c>
      <c r="H71" s="23"/>
      <c r="J71" s="43"/>
      <c r="V71" s="71"/>
      <c r="W71" s="112"/>
      <c r="X71" s="112"/>
      <c r="Y71" s="71"/>
      <c r="Z71" s="71"/>
      <c r="AA71" s="71"/>
      <c r="AD71" s="110"/>
      <c r="AE71" s="33"/>
      <c r="AF71" s="33"/>
      <c r="AG71" s="33"/>
      <c r="AH71" s="33"/>
      <c r="AI71" s="33"/>
      <c r="AJ71" s="33"/>
      <c r="AK71" s="33"/>
      <c r="AL71" s="13"/>
      <c r="AM71" s="13"/>
      <c r="AN71" s="13"/>
      <c r="AO71" s="13"/>
      <c r="AP71" s="13"/>
      <c r="AQ71" s="13"/>
      <c r="AR71" s="13"/>
      <c r="AS71" s="13"/>
      <c r="AT71" s="13"/>
      <c r="AU71" s="13"/>
      <c r="AV71" s="13"/>
      <c r="AW71" s="13"/>
      <c r="AX71" s="13"/>
      <c r="AY71" s="13"/>
      <c r="AZ71" s="13"/>
      <c r="BA71" s="13"/>
      <c r="BB71" s="13"/>
      <c r="BC71" s="13"/>
    </row>
    <row r="72" spans="1:55">
      <c r="A72" s="12"/>
      <c r="B72" s="48" t="s">
        <v>121</v>
      </c>
      <c r="C72" s="97" t="str">
        <f>IF($C$54&gt;0.1221,IFERROR($T$62,"Resize!"),"N.A.")</f>
        <v>N.A.</v>
      </c>
      <c r="E72" s="33" t="s">
        <v>122</v>
      </c>
      <c r="J72" s="43"/>
      <c r="V72" s="71"/>
      <c r="W72" s="112"/>
      <c r="X72" s="112"/>
      <c r="Y72" s="71"/>
      <c r="Z72" s="71"/>
      <c r="AA72" s="71"/>
      <c r="AD72" s="110"/>
      <c r="AE72" s="33"/>
      <c r="AF72" s="33"/>
      <c r="AG72" s="33"/>
      <c r="AH72" s="33"/>
      <c r="AI72" s="33"/>
      <c r="AJ72" s="33"/>
      <c r="AK72" s="33"/>
      <c r="AL72" s="13"/>
      <c r="AM72" s="13"/>
      <c r="AN72" s="13"/>
      <c r="AO72" s="13"/>
      <c r="AP72" s="13"/>
      <c r="AQ72" s="13"/>
      <c r="AR72" s="13"/>
      <c r="AS72" s="13"/>
      <c r="AT72" s="13"/>
      <c r="AU72" s="13"/>
      <c r="AV72" s="13"/>
      <c r="AW72" s="13"/>
      <c r="AX72" s="13"/>
      <c r="AY72" s="13"/>
      <c r="AZ72" s="13"/>
      <c r="BA72" s="13"/>
      <c r="BB72" s="13"/>
      <c r="BC72" s="13"/>
    </row>
    <row r="73" spans="1:55">
      <c r="A73" s="12"/>
      <c r="B73" s="48" t="s">
        <v>144</v>
      </c>
      <c r="C73" s="97">
        <f>IF($C$72="Resize!","Resize!",IF($C$54&lt;=0.1221,$C$51/$C$33+$C$52/$C$68,$C$72*$C$51/$C$33))</f>
        <v>113.74360291958675</v>
      </c>
      <c r="D73" s="78" t="s">
        <v>161</v>
      </c>
      <c r="E73" s="11" t="s">
        <v>155</v>
      </c>
      <c r="F73" s="31"/>
      <c r="J73" s="43"/>
      <c r="V73" s="71"/>
      <c r="W73" s="112"/>
      <c r="X73" s="112"/>
      <c r="Y73" s="71"/>
      <c r="Z73" s="71"/>
      <c r="AA73" s="71"/>
      <c r="AD73" s="110"/>
      <c r="AE73" s="33"/>
      <c r="AF73" s="33"/>
      <c r="AG73" s="33"/>
      <c r="AH73" s="33"/>
      <c r="AI73" s="33"/>
      <c r="AJ73" s="33"/>
      <c r="AK73" s="33"/>
      <c r="AL73" s="13"/>
      <c r="AM73" s="13"/>
      <c r="AN73" s="13"/>
      <c r="AO73" s="13"/>
      <c r="AP73" s="13"/>
      <c r="AQ73" s="13"/>
      <c r="AR73" s="13"/>
      <c r="AS73" s="13"/>
      <c r="AT73" s="13"/>
      <c r="AU73" s="13"/>
      <c r="AV73" s="13"/>
      <c r="AW73" s="13"/>
      <c r="AX73" s="13"/>
      <c r="AY73" s="13"/>
      <c r="AZ73" s="13"/>
      <c r="BA73" s="13"/>
      <c r="BB73" s="13"/>
      <c r="BC73" s="13"/>
    </row>
    <row r="74" spans="1:55">
      <c r="A74" s="12"/>
      <c r="B74" s="48" t="s">
        <v>145</v>
      </c>
      <c r="C74" s="91">
        <f>IF($C$72="Resize!","Resize!",IF($C$54&lt;=0.1221,$C$51/$C$33-$C$52/$C$68,0))</f>
        <v>47.160647641801205</v>
      </c>
      <c r="D74" s="78" t="s">
        <v>161</v>
      </c>
      <c r="E74" s="11" t="s">
        <v>156</v>
      </c>
      <c r="F74" s="31"/>
      <c r="G74" s="31"/>
      <c r="J74" s="43"/>
      <c r="V74" s="71"/>
      <c r="W74" s="112"/>
      <c r="X74" s="112"/>
      <c r="Y74" s="71"/>
      <c r="Z74" s="71"/>
      <c r="AA74" s="71"/>
      <c r="AD74" s="110"/>
      <c r="AE74" s="33"/>
      <c r="AF74" s="33"/>
      <c r="AG74" s="33"/>
      <c r="AH74" s="33"/>
      <c r="AI74" s="33"/>
      <c r="AJ74" s="33"/>
      <c r="AK74" s="33"/>
      <c r="AL74" s="13"/>
      <c r="AM74" s="13"/>
      <c r="AN74" s="13"/>
      <c r="AO74" s="13"/>
      <c r="AP74" s="13"/>
      <c r="AQ74" s="13"/>
      <c r="AR74" s="13"/>
      <c r="AS74" s="13"/>
      <c r="AT74" s="13"/>
      <c r="AU74" s="13"/>
      <c r="AV74" s="13"/>
      <c r="AW74" s="13"/>
      <c r="AX74" s="13"/>
      <c r="AY74" s="13"/>
      <c r="AZ74" s="13"/>
      <c r="BA74" s="13"/>
      <c r="BB74" s="13"/>
      <c r="BC74" s="13"/>
    </row>
    <row r="75" spans="1:55">
      <c r="A75" s="12"/>
      <c r="B75" s="48" t="s">
        <v>146</v>
      </c>
      <c r="C75" s="102">
        <f>$C$73-($C$14+$C$10)*$C$15</f>
        <v>101.14360291958675</v>
      </c>
      <c r="D75" s="78" t="s">
        <v>161</v>
      </c>
      <c r="E75" s="36" t="s">
        <v>147</v>
      </c>
      <c r="J75" s="43"/>
      <c r="V75" s="71"/>
      <c r="W75" s="112"/>
      <c r="X75" s="112"/>
      <c r="Y75" s="71"/>
      <c r="Z75" s="71"/>
      <c r="AA75" s="71"/>
      <c r="AD75" s="110"/>
      <c r="AE75" s="33"/>
      <c r="AF75" s="33"/>
      <c r="AG75" s="33"/>
      <c r="AH75" s="33"/>
      <c r="AI75" s="33"/>
      <c r="AJ75" s="33"/>
      <c r="AK75" s="33"/>
      <c r="AL75" s="13"/>
      <c r="AM75" s="13"/>
      <c r="AN75" s="13"/>
      <c r="AO75" s="13"/>
      <c r="AP75" s="13"/>
      <c r="AQ75" s="13"/>
      <c r="AR75" s="13"/>
      <c r="AS75" s="13"/>
      <c r="AT75" s="13"/>
      <c r="AU75" s="13"/>
      <c r="AV75" s="13"/>
      <c r="AW75" s="13"/>
      <c r="AX75" s="13"/>
      <c r="AY75" s="13"/>
      <c r="AZ75" s="13"/>
      <c r="BA75" s="13"/>
      <c r="BB75" s="13"/>
      <c r="BC75" s="13"/>
    </row>
    <row r="76" spans="1:55">
      <c r="A76" s="12"/>
      <c r="E76" s="11"/>
      <c r="G76" s="31"/>
      <c r="J76" s="43"/>
      <c r="V76" s="71"/>
      <c r="W76" s="112"/>
      <c r="X76" s="112"/>
      <c r="Y76" s="71"/>
      <c r="Z76" s="71"/>
      <c r="AA76" s="71"/>
      <c r="AD76" s="110"/>
      <c r="AE76" s="33"/>
      <c r="AF76" s="33"/>
      <c r="AG76" s="33"/>
      <c r="AH76" s="33"/>
      <c r="AI76" s="33"/>
      <c r="AJ76" s="33"/>
      <c r="AK76" s="33"/>
      <c r="AL76" s="13"/>
      <c r="AM76" s="13"/>
      <c r="AN76" s="13"/>
      <c r="AO76" s="13"/>
      <c r="AP76" s="13"/>
      <c r="AQ76" s="13"/>
      <c r="AR76" s="13"/>
      <c r="AS76" s="13"/>
      <c r="AT76" s="13"/>
      <c r="AU76" s="13"/>
      <c r="AV76" s="13"/>
      <c r="AW76" s="13"/>
      <c r="AX76" s="13"/>
      <c r="AY76" s="13"/>
      <c r="AZ76" s="13"/>
      <c r="BA76" s="13"/>
      <c r="BB76" s="13"/>
      <c r="BC76" s="13"/>
    </row>
    <row r="77" spans="1:55">
      <c r="A77" s="10" t="s">
        <v>124</v>
      </c>
      <c r="B77" s="95"/>
      <c r="C77" s="95"/>
      <c r="D77" s="11"/>
      <c r="E77" s="31"/>
      <c r="F77" s="31"/>
      <c r="G77" s="103"/>
      <c r="H77" s="31"/>
      <c r="J77" s="43"/>
      <c r="V77" s="71"/>
      <c r="W77" s="112"/>
      <c r="X77" s="112"/>
      <c r="Y77" s="71"/>
      <c r="Z77" s="71"/>
      <c r="AA77" s="71"/>
      <c r="AD77" s="110"/>
      <c r="AE77" s="33"/>
      <c r="AF77" s="33"/>
      <c r="AG77" s="33"/>
      <c r="AH77" s="33"/>
      <c r="AI77" s="33"/>
      <c r="AJ77" s="33"/>
      <c r="AK77" s="33"/>
      <c r="AL77" s="13"/>
      <c r="AM77" s="13"/>
      <c r="AN77" s="13"/>
      <c r="AO77" s="13"/>
      <c r="AP77" s="13"/>
      <c r="AQ77" s="13"/>
      <c r="AR77" s="13"/>
      <c r="AS77" s="13"/>
      <c r="AT77" s="13"/>
      <c r="AU77" s="13"/>
      <c r="AV77" s="13"/>
      <c r="AW77" s="13"/>
      <c r="AX77" s="13"/>
      <c r="AY77" s="13"/>
      <c r="AZ77" s="13"/>
      <c r="BA77" s="13"/>
      <c r="BB77" s="13"/>
      <c r="BC77" s="13"/>
    </row>
    <row r="78" spans="1:55">
      <c r="A78" s="12"/>
      <c r="B78" s="48" t="s">
        <v>113</v>
      </c>
      <c r="C78" s="94">
        <f>$C$35/($C$9/2)</f>
        <v>69.63286665599999</v>
      </c>
      <c r="D78" s="90" t="s">
        <v>163</v>
      </c>
      <c r="E78" s="33" t="s">
        <v>125</v>
      </c>
      <c r="F78" s="31"/>
      <c r="G78" s="31"/>
      <c r="H78" s="103"/>
      <c r="J78" s="43"/>
      <c r="V78" s="71"/>
      <c r="W78" s="112"/>
      <c r="X78" s="112"/>
      <c r="Y78" s="71"/>
      <c r="Z78" s="71"/>
      <c r="AA78" s="71"/>
      <c r="AD78" s="110"/>
      <c r="AE78" s="33"/>
      <c r="AF78" s="33"/>
      <c r="AG78" s="33"/>
      <c r="AH78" s="33"/>
      <c r="AI78" s="33"/>
      <c r="AJ78" s="33"/>
      <c r="AK78" s="33"/>
      <c r="AL78" s="13"/>
      <c r="AM78" s="13"/>
      <c r="AN78" s="13"/>
      <c r="AO78" s="13"/>
      <c r="AP78" s="13"/>
      <c r="AQ78" s="13"/>
      <c r="AR78" s="13"/>
      <c r="AS78" s="13"/>
      <c r="AT78" s="13"/>
      <c r="AU78" s="13"/>
      <c r="AV78" s="13"/>
      <c r="AW78" s="13"/>
      <c r="AX78" s="13"/>
      <c r="AY78" s="13"/>
      <c r="AZ78" s="13"/>
      <c r="BA78" s="13"/>
      <c r="BB78" s="13"/>
      <c r="BC78" s="13"/>
    </row>
    <row r="79" spans="1:55">
      <c r="A79" s="12"/>
      <c r="B79" s="48" t="s">
        <v>117</v>
      </c>
      <c r="C79" s="97">
        <f>IF($C$54&gt;0.1321,IFERROR($AA$58,"Resize!"),0)</f>
        <v>0</v>
      </c>
      <c r="E79" s="33" t="s">
        <v>126</v>
      </c>
      <c r="I79" s="30"/>
      <c r="J79" s="43"/>
      <c r="V79" s="71"/>
      <c r="W79" s="112"/>
      <c r="X79" s="112"/>
      <c r="Y79" s="71"/>
      <c r="Z79" s="71"/>
      <c r="AA79" s="71"/>
      <c r="AD79" s="110"/>
      <c r="AE79" s="33"/>
      <c r="AF79" s="33"/>
      <c r="AG79" s="33"/>
      <c r="AH79" s="33"/>
      <c r="AI79" s="33"/>
      <c r="AJ79" s="33"/>
      <c r="AK79" s="33"/>
      <c r="AL79" s="13"/>
      <c r="AM79" s="13"/>
      <c r="AN79" s="13"/>
      <c r="AO79" s="13"/>
      <c r="AP79" s="13"/>
      <c r="AQ79" s="13"/>
      <c r="AR79" s="13"/>
      <c r="AS79" s="13"/>
      <c r="AT79" s="13"/>
      <c r="AU79" s="13"/>
      <c r="AV79" s="13"/>
      <c r="AW79" s="13"/>
      <c r="AX79" s="13"/>
      <c r="AY79" s="13"/>
      <c r="AZ79" s="13"/>
      <c r="BA79" s="13"/>
      <c r="BB79" s="13"/>
      <c r="BC79" s="13"/>
    </row>
    <row r="80" spans="1:55">
      <c r="A80" s="12"/>
      <c r="B80" s="48" t="s">
        <v>153</v>
      </c>
      <c r="C80" s="97">
        <f>IF($C$54&gt;0.1321,IF($C$69="Resize!","Resize!",$AA$58*$C$9),0)</f>
        <v>0</v>
      </c>
      <c r="D80" s="90" t="s">
        <v>160</v>
      </c>
      <c r="E80" s="33" t="s">
        <v>154</v>
      </c>
      <c r="I80" s="30"/>
      <c r="J80" s="43"/>
    </row>
    <row r="81" spans="1:16">
      <c r="A81" s="12"/>
      <c r="B81" s="48" t="s">
        <v>35</v>
      </c>
      <c r="C81" s="91">
        <f>IF($C$80&lt;=0.62*$C$9,IF($C$80&lt;=$C$31*COS(PI()/180*45),($C$33-(($C$31+$C$80*TAN(PI()/180*45))*$C$80))/$C$33*100,($C$33-((($C$31+$C$31*SIN(PI()/180*45))*($C$31*COS(PI()/180*45))) + ($C$9*($C$80-$C$31*COS(PI()/180*45)))))/$C$33*100),"Resize!")</f>
        <v>100</v>
      </c>
      <c r="D81" s="20" t="s">
        <v>26</v>
      </c>
      <c r="E81" s="33" t="s">
        <v>120</v>
      </c>
      <c r="I81" s="30"/>
      <c r="J81" s="43"/>
    </row>
    <row r="82" spans="1:16">
      <c r="A82" s="12"/>
      <c r="B82" s="48" t="s">
        <v>121</v>
      </c>
      <c r="C82" s="97" t="str">
        <f>IF($C$54&gt;0.1321,IFERROR($AA$62,"Resize!"),"N.A.")</f>
        <v>N.A.</v>
      </c>
      <c r="E82" s="33" t="s">
        <v>127</v>
      </c>
      <c r="I82" s="30"/>
      <c r="J82" s="43"/>
    </row>
    <row r="83" spans="1:16">
      <c r="A83" s="12"/>
      <c r="B83" s="48" t="s">
        <v>144</v>
      </c>
      <c r="C83" s="97">
        <f>IF($C$82="Resize!","Resize!",IF($C$54&lt;=0.1321,$C$51/$C$33+$C$52/$C$78,$C$82*$C$51/$C$33))</f>
        <v>111.20944007832419</v>
      </c>
      <c r="D83" s="78" t="s">
        <v>161</v>
      </c>
      <c r="E83" s="11" t="s">
        <v>157</v>
      </c>
      <c r="I83" s="11"/>
      <c r="J83" s="43"/>
    </row>
    <row r="84" spans="1:16">
      <c r="A84" s="12"/>
      <c r="B84" s="48" t="s">
        <v>145</v>
      </c>
      <c r="C84" s="97">
        <f>IF($C$82="Resize!","Resize!",IF($C$54&lt;=0.1321,$C$51/$C$33-$C$52/$C$78,0))</f>
        <v>49.694810483063762</v>
      </c>
      <c r="D84" s="78" t="s">
        <v>161</v>
      </c>
      <c r="E84" s="11" t="s">
        <v>158</v>
      </c>
      <c r="F84" s="31"/>
      <c r="G84" s="31"/>
      <c r="H84" s="11"/>
      <c r="I84" s="11"/>
      <c r="J84" s="43"/>
    </row>
    <row r="85" spans="1:16">
      <c r="A85" s="12"/>
      <c r="B85" s="48" t="s">
        <v>146</v>
      </c>
      <c r="C85" s="102">
        <f>$C$83-($C$14+$C$10)*$C$15</f>
        <v>98.609440078324198</v>
      </c>
      <c r="D85" s="78" t="s">
        <v>161</v>
      </c>
      <c r="E85" s="36" t="s">
        <v>147</v>
      </c>
      <c r="J85" s="43"/>
    </row>
    <row r="86" spans="1:16">
      <c r="A86" s="12"/>
      <c r="J86" s="43"/>
    </row>
    <row r="87" spans="1:16">
      <c r="A87" s="12"/>
      <c r="J87" s="43"/>
    </row>
    <row r="88" spans="1:16">
      <c r="A88" s="12"/>
      <c r="J88" s="43"/>
    </row>
    <row r="89" spans="1:16">
      <c r="A89" s="12"/>
      <c r="J89" s="43"/>
    </row>
    <row r="90" spans="1:16">
      <c r="A90" s="12"/>
      <c r="J90" s="43"/>
    </row>
    <row r="91" spans="1:16">
      <c r="A91" s="12"/>
      <c r="J91" s="43"/>
    </row>
    <row r="92" spans="1:16">
      <c r="A92" s="12"/>
      <c r="J92" s="43"/>
    </row>
    <row r="93" spans="1:16">
      <c r="A93" s="12"/>
      <c r="J93" s="43"/>
    </row>
    <row r="94" spans="1:16">
      <c r="A94" s="12"/>
      <c r="J94" s="43"/>
    </row>
    <row r="95" spans="1:16">
      <c r="A95" s="12"/>
      <c r="J95" s="43"/>
    </row>
    <row r="96" spans="1:16">
      <c r="A96" s="12"/>
      <c r="I96" s="15"/>
      <c r="J96" s="43"/>
      <c r="L96" s="47" t="s">
        <v>42</v>
      </c>
      <c r="M96" s="50"/>
      <c r="N96" s="50"/>
      <c r="O96" s="50"/>
      <c r="P96" s="50"/>
    </row>
    <row r="97" spans="1:16">
      <c r="A97" s="12"/>
      <c r="H97" s="15"/>
      <c r="I97" s="45"/>
      <c r="J97" s="43"/>
      <c r="L97" s="51"/>
      <c r="M97" s="51" t="s">
        <v>10</v>
      </c>
      <c r="N97" s="51"/>
      <c r="O97" s="51"/>
      <c r="P97" s="51"/>
    </row>
    <row r="98" spans="1:16">
      <c r="A98" s="12"/>
      <c r="H98" s="15"/>
      <c r="I98" s="46"/>
      <c r="J98" s="43"/>
      <c r="L98" s="51"/>
      <c r="M98" s="50" t="s">
        <v>11</v>
      </c>
      <c r="N98" s="50"/>
      <c r="O98" s="50"/>
      <c r="P98" s="51"/>
    </row>
    <row r="99" spans="1:16">
      <c r="A99" s="12"/>
      <c r="J99" s="43"/>
    </row>
    <row r="100" spans="1:16">
      <c r="A100" s="12"/>
      <c r="J100" s="43"/>
    </row>
    <row r="101" spans="1:16">
      <c r="A101" s="12"/>
      <c r="J101" s="43"/>
    </row>
    <row r="102" spans="1:16">
      <c r="A102" s="12"/>
      <c r="J102" s="43"/>
    </row>
    <row r="103" spans="1:16">
      <c r="A103" s="12"/>
      <c r="J103" s="43"/>
    </row>
    <row r="104" spans="1:16">
      <c r="A104" s="12"/>
      <c r="J104" s="43"/>
    </row>
    <row r="105" spans="1:16">
      <c r="A105" s="12"/>
      <c r="J105" s="43"/>
    </row>
    <row r="106" spans="1:16">
      <c r="A106" s="12"/>
      <c r="J106" s="43"/>
    </row>
    <row r="107" spans="1:16">
      <c r="A107" s="12"/>
      <c r="J107" s="43"/>
    </row>
    <row r="108" spans="1:16">
      <c r="A108" s="12"/>
      <c r="J108" s="43"/>
    </row>
    <row r="109" spans="1:16">
      <c r="A109" s="12"/>
      <c r="J109" s="43"/>
    </row>
    <row r="110" spans="1:16">
      <c r="A110" s="29"/>
      <c r="B110" s="16"/>
      <c r="C110" s="16"/>
      <c r="D110" s="16"/>
      <c r="E110" s="16"/>
      <c r="F110" s="16"/>
      <c r="G110" s="16"/>
      <c r="H110" s="16"/>
      <c r="I110" s="16"/>
      <c r="J110" s="52" t="s">
        <v>7</v>
      </c>
    </row>
    <row r="111" spans="1:16">
      <c r="A111" s="26"/>
      <c r="B111" s="27"/>
      <c r="C111" s="27"/>
      <c r="D111" s="27"/>
      <c r="E111" s="27"/>
      <c r="F111" s="27"/>
      <c r="G111" s="27"/>
      <c r="H111" s="27"/>
      <c r="I111" s="27"/>
      <c r="J111" s="101"/>
    </row>
    <row r="112" spans="1:16">
      <c r="A112" s="106" t="s">
        <v>47</v>
      </c>
      <c r="B112" s="38" t="s">
        <v>140</v>
      </c>
      <c r="J112" s="43"/>
    </row>
    <row r="113" spans="1:10">
      <c r="A113" s="41"/>
      <c r="B113" s="18" t="s">
        <v>141</v>
      </c>
      <c r="J113" s="43"/>
    </row>
    <row r="114" spans="1:10">
      <c r="A114" s="12"/>
      <c r="J114" s="43"/>
    </row>
    <row r="115" spans="1:10">
      <c r="A115" s="12"/>
      <c r="J115" s="43"/>
    </row>
    <row r="116" spans="1:10">
      <c r="A116" s="12"/>
      <c r="J116" s="43"/>
    </row>
    <row r="117" spans="1:10">
      <c r="A117" s="12"/>
      <c r="J117" s="43"/>
    </row>
    <row r="118" spans="1:10">
      <c r="A118" s="12"/>
      <c r="J118" s="43"/>
    </row>
    <row r="119" spans="1:10">
      <c r="A119" s="12"/>
      <c r="J119" s="43"/>
    </row>
    <row r="120" spans="1:10">
      <c r="A120" s="12"/>
      <c r="J120" s="43"/>
    </row>
    <row r="121" spans="1:10">
      <c r="A121" s="12"/>
      <c r="J121" s="43"/>
    </row>
    <row r="122" spans="1:10">
      <c r="A122" s="12"/>
      <c r="J122" s="43"/>
    </row>
    <row r="123" spans="1:10">
      <c r="A123" s="12"/>
      <c r="J123" s="43"/>
    </row>
    <row r="124" spans="1:10">
      <c r="A124" s="12"/>
      <c r="J124" s="43"/>
    </row>
    <row r="125" spans="1:10">
      <c r="A125" s="12"/>
      <c r="J125" s="43"/>
    </row>
    <row r="126" spans="1:10">
      <c r="A126" s="12"/>
      <c r="J126" s="43"/>
    </row>
    <row r="127" spans="1:10">
      <c r="A127" s="12"/>
      <c r="J127" s="43"/>
    </row>
    <row r="128" spans="1:10">
      <c r="A128" s="12"/>
      <c r="J128" s="43"/>
    </row>
    <row r="129" spans="1:10">
      <c r="A129" s="12"/>
      <c r="J129" s="43"/>
    </row>
    <row r="130" spans="1:10">
      <c r="A130" s="12"/>
      <c r="J130" s="43"/>
    </row>
    <row r="131" spans="1:10">
      <c r="A131" s="12"/>
      <c r="J131" s="43"/>
    </row>
    <row r="132" spans="1:10">
      <c r="A132" s="12"/>
      <c r="J132" s="43"/>
    </row>
    <row r="133" spans="1:10">
      <c r="A133" s="12"/>
      <c r="J133" s="43"/>
    </row>
    <row r="134" spans="1:10">
      <c r="A134" s="12"/>
      <c r="J134" s="43"/>
    </row>
    <row r="135" spans="1:10">
      <c r="A135" s="12"/>
      <c r="J135" s="43"/>
    </row>
    <row r="136" spans="1:10">
      <c r="A136" s="12"/>
      <c r="J136" s="43"/>
    </row>
    <row r="137" spans="1:10">
      <c r="A137" s="12"/>
      <c r="J137" s="43"/>
    </row>
    <row r="138" spans="1:10">
      <c r="A138" s="12"/>
      <c r="J138" s="43"/>
    </row>
    <row r="139" spans="1:10">
      <c r="A139" s="12"/>
      <c r="J139" s="43"/>
    </row>
    <row r="140" spans="1:10">
      <c r="A140" s="12"/>
      <c r="J140" s="43"/>
    </row>
    <row r="141" spans="1:10">
      <c r="A141" s="12"/>
      <c r="J141" s="43"/>
    </row>
    <row r="142" spans="1:10">
      <c r="A142" s="12"/>
      <c r="J142" s="43"/>
    </row>
    <row r="143" spans="1:10">
      <c r="A143" s="12"/>
      <c r="J143" s="43"/>
    </row>
    <row r="144" spans="1:10">
      <c r="A144" s="12"/>
      <c r="J144" s="43"/>
    </row>
    <row r="145" spans="1:10">
      <c r="A145" s="12"/>
      <c r="J145" s="43"/>
    </row>
    <row r="146" spans="1:10">
      <c r="A146" s="12"/>
      <c r="J146" s="43"/>
    </row>
    <row r="147" spans="1:10">
      <c r="A147" s="12"/>
      <c r="J147" s="43"/>
    </row>
    <row r="148" spans="1:10">
      <c r="A148" s="12"/>
      <c r="J148" s="43"/>
    </row>
    <row r="149" spans="1:10">
      <c r="A149" s="12"/>
      <c r="J149" s="43"/>
    </row>
    <row r="150" spans="1:10">
      <c r="A150" s="12"/>
      <c r="J150" s="43"/>
    </row>
    <row r="151" spans="1:10">
      <c r="A151" s="12"/>
      <c r="J151" s="43"/>
    </row>
    <row r="152" spans="1:10">
      <c r="A152" s="12"/>
      <c r="J152" s="43"/>
    </row>
    <row r="153" spans="1:10">
      <c r="A153" s="12"/>
      <c r="J153" s="43"/>
    </row>
    <row r="154" spans="1:10">
      <c r="A154" s="12"/>
      <c r="J154" s="43"/>
    </row>
    <row r="155" spans="1:10">
      <c r="A155" s="12"/>
      <c r="J155" s="43"/>
    </row>
    <row r="156" spans="1:10">
      <c r="A156" s="12"/>
      <c r="J156" s="43"/>
    </row>
    <row r="157" spans="1:10">
      <c r="A157" s="12"/>
      <c r="J157" s="43"/>
    </row>
    <row r="158" spans="1:10">
      <c r="A158" s="12"/>
      <c r="J158" s="43"/>
    </row>
    <row r="159" spans="1:10">
      <c r="A159" s="12"/>
      <c r="J159" s="43"/>
    </row>
    <row r="160" spans="1:10">
      <c r="A160" s="12"/>
      <c r="J160" s="43"/>
    </row>
    <row r="161" spans="1:10">
      <c r="A161" s="12"/>
      <c r="J161" s="43"/>
    </row>
    <row r="162" spans="1:10">
      <c r="A162" s="12"/>
      <c r="J162" s="43"/>
    </row>
    <row r="163" spans="1:10">
      <c r="A163" s="12"/>
      <c r="J163" s="43"/>
    </row>
    <row r="164" spans="1:10">
      <c r="A164" s="12"/>
      <c r="J164" s="43"/>
    </row>
    <row r="165" spans="1:10">
      <c r="A165" s="29"/>
      <c r="B165" s="16"/>
      <c r="C165" s="16"/>
      <c r="D165" s="16"/>
      <c r="E165" s="16"/>
      <c r="F165" s="16"/>
      <c r="G165" s="16"/>
      <c r="H165" s="16"/>
      <c r="I165" s="16"/>
      <c r="J165" s="100"/>
    </row>
  </sheetData>
  <conditionalFormatting sqref="C32 C35">
    <cfRule type="cellIs" dxfId="4" priority="4" stopIfTrue="1" operator="lessThan">
      <formula>1.5</formula>
    </cfRule>
  </conditionalFormatting>
  <conditionalFormatting sqref="M22:M24">
    <cfRule type="expression" dxfId="3" priority="3">
      <formula>AND(ISNUMBER(M22),M22&gt;1,ROW(M1048568)&gt;=3)</formula>
    </cfRule>
  </conditionalFormatting>
  <conditionalFormatting sqref="N22:N25">
    <cfRule type="containsText" dxfId="2" priority="1" operator="containsText" text="NG">
      <formula>NOT(ISERROR(SEARCH("NG",N22)))</formula>
    </cfRule>
    <cfRule type="containsText" dxfId="1" priority="2" operator="containsText" text="NG">
      <formula>NOT(ISERROR(SEARCH("NG",N22)))</formula>
    </cfRule>
  </conditionalFormatting>
  <conditionalFormatting sqref="M25">
    <cfRule type="expression" dxfId="0" priority="15">
      <formula>AND(ISNUMBER(M25),M25&gt;1,ROW(M1048572)&gt;=3)</formula>
    </cfRule>
  </conditionalFormatting>
  <dataValidations count="5">
    <dataValidation type="decimal" operator="greaterThanOrEqual" allowBlank="1" showInputMessage="1" showErrorMessage="1" error="Df MUST BE &gt;= Dp" prompt="The Octagonal Footing Base Length, 'Df', is the flat side to flat side dimension of the footing." sqref="O10" xr:uid="{29D4AA27-AA3F-4201-9FD4-E255AEF42B88}">
      <formula1>$O$12</formula1>
    </dataValidation>
    <dataValidation type="decimal" operator="greaterThanOrEqual" allowBlank="1" showInputMessage="1" showErrorMessage="1" error="P must be &gt;= 0!" prompt="'P' is the vertical load to be applied at the C.L. of the pier._x000a_Sign convention used in this worksheet:_x000a_  +  = downward for gravity load (MUST BE input as positive)" sqref="C22:C23" xr:uid="{2375E1C5-AE40-43AE-BCFD-EFE55D913AE4}">
      <formula1>0</formula1>
    </dataValidation>
    <dataValidation type="decimal" operator="greaterThanOrEqual" allowBlank="1" showInputMessage="1" showErrorMessage="1" error="M must be &gt;= 0!" prompt="'M' is the moment to be applied at the top of the pier._x000a_Sign convention: + = clockwise (MUST BE input as positive)" sqref="C24" xr:uid="{0E503C68-06F7-476C-9BB7-A031CBFC97C2}">
      <formula1>0</formula1>
    </dataValidation>
    <dataValidation type="decimal" operator="greaterThan" allowBlank="1" showInputMessage="1" showErrorMessage="1" prompt="The X/Y ratio is the ratio of the actual on-screen measured lenghts of the X and Y axes.  The default value initially set up for use in this work sheet is X/Y = 1.0." sqref="M4" xr:uid="{F225835F-7F26-4B40-84D1-224D24807A6A}">
      <formula1>0</formula1>
    </dataValidation>
    <dataValidation type="decimal" operator="greaterThanOrEqual" allowBlank="1" showInputMessage="1" showErrorMessage="1" prompt="Note:  The uniform live load surcharge, 'Q', is assumed to act over the entire foundation plan area and is included in calculation of the soil bearing pressures, but is NOT included in calculation of resisting moment or weight for friction resistance." sqref="C19" xr:uid="{25AF4BDF-7EEF-4072-ACC5-E53AE4878A6E}">
      <formula1>0</formula1>
    </dataValidation>
  </dataValidations>
  <pageMargins left="1" right="0.5" top="1" bottom="1" header="0.5" footer="0.5"/>
  <pageSetup scale="94" orientation="portrait" r:id="rId1"/>
  <headerFooter alignWithMargins="0">
    <oddHeader>&amp;R"FOOTINGS.xls" Program
Version 3.8</oddHeader>
    <oddFooter>&amp;C&amp;P of &amp;N&amp;R&amp;D  &amp;T</oddFooter>
  </headerFooter>
  <rowBreaks count="2" manualBreakCount="2">
    <brk id="55" max="9" man="1"/>
    <brk id="110" max="9" man="1"/>
  </row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60209-C2C7-4B61-B128-5CF16AF0AD6E}">
  <sheetPr codeName="Sheet9"/>
  <dimension ref="A1:AG129"/>
  <sheetViews>
    <sheetView topLeftCell="E1" workbookViewId="0">
      <selection activeCell="K19" sqref="K19"/>
    </sheetView>
  </sheetViews>
  <sheetFormatPr defaultColWidth="8.88671875" defaultRowHeight="15" customHeight="1"/>
  <cols>
    <col min="1" max="1" width="8.88671875" style="170"/>
    <col min="2" max="2" width="9.88671875" style="170" bestFit="1" customWidth="1"/>
    <col min="3" max="10" width="8.88671875" style="170"/>
    <col min="11" max="11" width="17.88671875" style="170" customWidth="1"/>
    <col min="12" max="12" width="8.88671875" style="170"/>
    <col min="13" max="13" width="5.88671875" style="170" bestFit="1" customWidth="1"/>
    <col min="14" max="14" width="9.44140625" style="170" bestFit="1" customWidth="1"/>
    <col min="15" max="15" width="5.33203125" style="170" bestFit="1" customWidth="1"/>
    <col min="16" max="16" width="9" style="170" bestFit="1" customWidth="1"/>
    <col min="17" max="18" width="8" style="170" bestFit="1" customWidth="1"/>
    <col min="19" max="19" width="8.5546875" style="170" bestFit="1" customWidth="1"/>
    <col min="20" max="21" width="9" style="170" bestFit="1" customWidth="1"/>
    <col min="22" max="24" width="8.88671875" style="170"/>
    <col min="25" max="27" width="8.88671875" style="177"/>
    <col min="28" max="28" width="8.88671875" style="177" bestFit="1" customWidth="1"/>
    <col min="29" max="30" width="9.5546875" style="170" bestFit="1" customWidth="1"/>
    <col min="31" max="31" width="9.5546875" style="170" customWidth="1"/>
    <col min="32" max="32" width="8.88671875" style="170"/>
    <col min="33" max="33" width="9.33203125" style="170" customWidth="1"/>
    <col min="34" max="16384" width="8.88671875" style="170"/>
  </cols>
  <sheetData>
    <row r="1" spans="1:33" ht="24" customHeight="1">
      <c r="A1" s="169" t="s">
        <v>176</v>
      </c>
      <c r="B1" s="169" t="s">
        <v>168</v>
      </c>
      <c r="C1" s="169" t="s">
        <v>177</v>
      </c>
      <c r="D1" s="169" t="s">
        <v>169</v>
      </c>
      <c r="E1" s="169" t="s">
        <v>170</v>
      </c>
      <c r="F1" s="169" t="s">
        <v>171</v>
      </c>
      <c r="G1" s="169" t="s">
        <v>172</v>
      </c>
      <c r="H1" s="169" t="s">
        <v>173</v>
      </c>
      <c r="I1" s="169" t="s">
        <v>174</v>
      </c>
      <c r="J1" s="177"/>
      <c r="K1" s="177"/>
      <c r="L1" s="177"/>
      <c r="M1" s="169" t="s">
        <v>176</v>
      </c>
      <c r="N1" s="169" t="s">
        <v>168</v>
      </c>
      <c r="O1" s="169" t="s">
        <v>177</v>
      </c>
      <c r="P1" s="169" t="s">
        <v>169</v>
      </c>
      <c r="Q1" s="169" t="s">
        <v>170</v>
      </c>
      <c r="R1" s="169" t="s">
        <v>171</v>
      </c>
      <c r="S1" s="169" t="s">
        <v>172</v>
      </c>
      <c r="T1" s="169" t="s">
        <v>173</v>
      </c>
      <c r="U1" s="169" t="s">
        <v>174</v>
      </c>
      <c r="V1" s="177" t="s">
        <v>224</v>
      </c>
      <c r="W1" s="177" t="s">
        <v>225</v>
      </c>
      <c r="X1" s="177" t="s">
        <v>226</v>
      </c>
      <c r="Y1" s="174" t="s">
        <v>227</v>
      </c>
      <c r="Z1" s="177" t="s">
        <v>230</v>
      </c>
      <c r="AA1" s="177" t="s">
        <v>231</v>
      </c>
      <c r="AB1" s="183" t="s">
        <v>236</v>
      </c>
      <c r="AC1" s="183" t="s">
        <v>239</v>
      </c>
      <c r="AD1" s="183" t="s">
        <v>240</v>
      </c>
      <c r="AE1" s="177" t="s">
        <v>236</v>
      </c>
      <c r="AF1" s="177" t="s">
        <v>235</v>
      </c>
      <c r="AG1" s="177" t="s">
        <v>237</v>
      </c>
    </row>
    <row r="2" spans="1:33" ht="15" customHeight="1">
      <c r="A2">
        <v>1</v>
      </c>
      <c r="B2" t="s">
        <v>178</v>
      </c>
      <c r="C2">
        <v>1</v>
      </c>
      <c r="D2">
        <v>5377.9110000000001</v>
      </c>
      <c r="E2">
        <v>0</v>
      </c>
      <c r="F2">
        <v>0</v>
      </c>
      <c r="G2">
        <v>0</v>
      </c>
      <c r="H2">
        <v>0</v>
      </c>
      <c r="I2">
        <v>0</v>
      </c>
      <c r="K2" s="172" t="s">
        <v>194</v>
      </c>
      <c r="M2" s="170">
        <v>1</v>
      </c>
      <c r="N2" s="170" t="s">
        <v>178</v>
      </c>
      <c r="O2" s="170">
        <v>2</v>
      </c>
      <c r="P2" s="171">
        <v>-3164.75</v>
      </c>
      <c r="Q2" s="171">
        <v>0</v>
      </c>
      <c r="R2" s="171">
        <v>0</v>
      </c>
      <c r="S2" s="171">
        <v>0</v>
      </c>
      <c r="T2" s="171">
        <v>0</v>
      </c>
      <c r="U2" s="171">
        <v>0</v>
      </c>
      <c r="V2" s="171">
        <f>-P2</f>
        <v>3164.75</v>
      </c>
      <c r="W2" s="170">
        <f>+SQRT(Q2^2+R2^2)</f>
        <v>0</v>
      </c>
      <c r="X2" s="170">
        <f>+SQRT(T2^2+U2^2)</f>
        <v>0</v>
      </c>
      <c r="Y2" s="178">
        <f>+IF(X2="","",LoadCase!B2)</f>
        <v>1</v>
      </c>
      <c r="Z2" s="177">
        <f>IF(N2="","",IF(Y2&lt;1,1.5,1))</f>
        <v>1</v>
      </c>
      <c r="AA2" s="177">
        <f>+IF(N2="","",'Octagonal Footing'!$C$19)</f>
        <v>150</v>
      </c>
      <c r="AB2" s="184" t="s">
        <v>238</v>
      </c>
      <c r="AC2" s="171" t="s">
        <v>238</v>
      </c>
      <c r="AD2" s="171">
        <v>80.452125280693977</v>
      </c>
      <c r="AE2" s="171" t="str">
        <f>IF(OR($N2="", AB2="N.A."), "", $Z2/AB2)</f>
        <v/>
      </c>
      <c r="AF2" s="171" t="str">
        <f t="shared" ref="AF2:AG17" si="0">IF(OR($N2="", AC2="N.A."), "", $Z2/AC2)</f>
        <v/>
      </c>
      <c r="AG2" s="171">
        <f t="shared" si="0"/>
        <v>1.2429752433649743E-2</v>
      </c>
    </row>
    <row r="3" spans="1:33" ht="15" customHeight="1">
      <c r="A3">
        <v>1</v>
      </c>
      <c r="B3" t="s">
        <v>178</v>
      </c>
      <c r="C3">
        <v>2</v>
      </c>
      <c r="D3">
        <v>-3164.75</v>
      </c>
      <c r="E3">
        <v>0</v>
      </c>
      <c r="F3">
        <v>0</v>
      </c>
      <c r="G3">
        <v>0</v>
      </c>
      <c r="H3">
        <v>0</v>
      </c>
      <c r="I3">
        <v>0</v>
      </c>
      <c r="M3" s="170">
        <v>1</v>
      </c>
      <c r="N3" s="170" t="s">
        <v>179</v>
      </c>
      <c r="O3" s="170">
        <v>2</v>
      </c>
      <c r="P3" s="171">
        <v>-3164.75</v>
      </c>
      <c r="Q3" s="171">
        <v>-34.956000000000003</v>
      </c>
      <c r="R3" s="171">
        <v>0</v>
      </c>
      <c r="S3" s="171">
        <v>0</v>
      </c>
      <c r="T3" s="171">
        <v>0</v>
      </c>
      <c r="U3" s="171">
        <v>-122.532</v>
      </c>
      <c r="V3" s="171">
        <f t="shared" ref="V3:V46" si="1">-P3</f>
        <v>3164.75</v>
      </c>
      <c r="W3" s="170">
        <f t="shared" ref="W3:W46" si="2">+SQRT(Q3^2+R3^2)</f>
        <v>34.956000000000003</v>
      </c>
      <c r="X3" s="170">
        <f t="shared" ref="X3:X46" si="3">+SQRT(T3^2+U3^2)</f>
        <v>122.532</v>
      </c>
      <c r="Y3" s="178">
        <f>+IF(X3="","",LoadCase!B3)</f>
        <v>1</v>
      </c>
      <c r="Z3" s="177">
        <f t="shared" ref="Z3:Z46" si="4">IF(N3="","",IF(Y3&lt;1,1.5,1))</f>
        <v>1</v>
      </c>
      <c r="AA3" s="177">
        <f>+IF(N3="","",'Octagonal Footing'!$C$19)</f>
        <v>150</v>
      </c>
      <c r="AB3" s="184">
        <v>128.86833121093065</v>
      </c>
      <c r="AC3" s="171">
        <v>56.406219707190438</v>
      </c>
      <c r="AD3" s="171">
        <v>83.008834658606574</v>
      </c>
      <c r="AE3" s="171">
        <f t="shared" ref="AE3:AG46" si="5">IF(OR($N3="", AB3="N.A."), "", $Z3/AB3)</f>
        <v>7.7598583810572358E-3</v>
      </c>
      <c r="AF3" s="171">
        <f t="shared" si="0"/>
        <v>1.7728541377016335E-2</v>
      </c>
      <c r="AG3" s="171">
        <f t="shared" si="0"/>
        <v>1.2046910477815236E-2</v>
      </c>
    </row>
    <row r="4" spans="1:33" ht="15" customHeight="1">
      <c r="A4">
        <v>1</v>
      </c>
      <c r="B4" t="s">
        <v>179</v>
      </c>
      <c r="C4">
        <v>1</v>
      </c>
      <c r="D4">
        <v>5377.9110000000001</v>
      </c>
      <c r="E4">
        <v>34.956000000000003</v>
      </c>
      <c r="F4">
        <v>0</v>
      </c>
      <c r="G4">
        <v>0</v>
      </c>
      <c r="H4">
        <v>0</v>
      </c>
      <c r="I4">
        <v>167.97499999999999</v>
      </c>
      <c r="M4" s="170">
        <v>1</v>
      </c>
      <c r="N4" s="170" t="s">
        <v>180</v>
      </c>
      <c r="O4" s="170">
        <v>2</v>
      </c>
      <c r="P4" s="171">
        <v>-3164.75</v>
      </c>
      <c r="Q4" s="171">
        <v>34.956000000000003</v>
      </c>
      <c r="R4" s="171">
        <v>0</v>
      </c>
      <c r="S4" s="171">
        <v>0</v>
      </c>
      <c r="T4" s="171">
        <v>0</v>
      </c>
      <c r="U4" s="171">
        <v>122.532</v>
      </c>
      <c r="V4" s="171">
        <f t="shared" si="1"/>
        <v>3164.75</v>
      </c>
      <c r="W4" s="170">
        <f t="shared" si="2"/>
        <v>34.956000000000003</v>
      </c>
      <c r="X4" s="170">
        <f t="shared" si="3"/>
        <v>122.532</v>
      </c>
      <c r="Y4" s="178">
        <f>+IF(X4="","",LoadCase!B4)</f>
        <v>1</v>
      </c>
      <c r="Z4" s="177">
        <f t="shared" si="4"/>
        <v>1</v>
      </c>
      <c r="AA4" s="177">
        <f>+IF(N4="","",'Octagonal Footing'!$C$19)</f>
        <v>150</v>
      </c>
      <c r="AB4" s="184">
        <v>128.86833121093065</v>
      </c>
      <c r="AC4" s="171">
        <v>56.406219707190438</v>
      </c>
      <c r="AD4" s="171">
        <v>83.008834658606574</v>
      </c>
      <c r="AE4" s="171">
        <f t="shared" si="5"/>
        <v>7.7598583810572358E-3</v>
      </c>
      <c r="AF4" s="171">
        <f t="shared" si="0"/>
        <v>1.7728541377016335E-2</v>
      </c>
      <c r="AG4" s="171">
        <f t="shared" si="0"/>
        <v>1.2046910477815236E-2</v>
      </c>
    </row>
    <row r="5" spans="1:33" ht="15" customHeight="1">
      <c r="A5">
        <v>1</v>
      </c>
      <c r="B5" t="s">
        <v>179</v>
      </c>
      <c r="C5">
        <v>2</v>
      </c>
      <c r="D5">
        <v>-3164.75</v>
      </c>
      <c r="E5">
        <v>-34.956000000000003</v>
      </c>
      <c r="F5">
        <v>0</v>
      </c>
      <c r="G5">
        <v>0</v>
      </c>
      <c r="H5">
        <v>0</v>
      </c>
      <c r="I5">
        <v>-122.532</v>
      </c>
      <c r="M5" s="170">
        <v>1</v>
      </c>
      <c r="N5" s="170" t="s">
        <v>181</v>
      </c>
      <c r="O5" s="170">
        <v>2</v>
      </c>
      <c r="P5" s="171">
        <v>-3164.75</v>
      </c>
      <c r="Q5" s="171">
        <v>0</v>
      </c>
      <c r="R5" s="171">
        <v>34.956000000000003</v>
      </c>
      <c r="S5" s="171">
        <v>0</v>
      </c>
      <c r="T5" s="171">
        <v>-122.532</v>
      </c>
      <c r="U5" s="171">
        <v>0</v>
      </c>
      <c r="V5" s="171">
        <f t="shared" si="1"/>
        <v>3164.75</v>
      </c>
      <c r="W5" s="170">
        <f t="shared" si="2"/>
        <v>34.956000000000003</v>
      </c>
      <c r="X5" s="170">
        <f t="shared" si="3"/>
        <v>122.532</v>
      </c>
      <c r="Y5" s="178">
        <f>+IF(X5="","",LoadCase!B5)</f>
        <v>1</v>
      </c>
      <c r="Z5" s="177">
        <f t="shared" si="4"/>
        <v>1</v>
      </c>
      <c r="AA5" s="177">
        <f>+IF(N5="","",'Octagonal Footing'!$C$19)</f>
        <v>150</v>
      </c>
      <c r="AB5" s="184">
        <v>128.86833121093065</v>
      </c>
      <c r="AC5" s="171">
        <v>56.406219707190438</v>
      </c>
      <c r="AD5" s="171">
        <v>83.008834658606574</v>
      </c>
      <c r="AE5" s="171">
        <f t="shared" si="5"/>
        <v>7.7598583810572358E-3</v>
      </c>
      <c r="AF5" s="171">
        <f t="shared" si="0"/>
        <v>1.7728541377016335E-2</v>
      </c>
      <c r="AG5" s="171">
        <f t="shared" si="0"/>
        <v>1.2046910477815236E-2</v>
      </c>
    </row>
    <row r="6" spans="1:33" ht="15" customHeight="1">
      <c r="A6">
        <v>1</v>
      </c>
      <c r="B6" t="s">
        <v>180</v>
      </c>
      <c r="C6">
        <v>1</v>
      </c>
      <c r="D6">
        <v>5377.9110000000001</v>
      </c>
      <c r="E6">
        <v>-34.956000000000003</v>
      </c>
      <c r="F6">
        <v>0</v>
      </c>
      <c r="G6">
        <v>0</v>
      </c>
      <c r="H6">
        <v>0</v>
      </c>
      <c r="I6">
        <v>-167.97499999999999</v>
      </c>
      <c r="M6" s="170">
        <v>1</v>
      </c>
      <c r="N6" s="170" t="s">
        <v>182</v>
      </c>
      <c r="O6" s="170">
        <v>2</v>
      </c>
      <c r="P6" s="171">
        <v>-3164.75</v>
      </c>
      <c r="Q6" s="171">
        <v>0</v>
      </c>
      <c r="R6" s="171">
        <v>-34.956000000000003</v>
      </c>
      <c r="S6" s="171">
        <v>0</v>
      </c>
      <c r="T6" s="171">
        <v>122.532</v>
      </c>
      <c r="U6" s="171">
        <v>0</v>
      </c>
      <c r="V6" s="171">
        <f t="shared" si="1"/>
        <v>3164.75</v>
      </c>
      <c r="W6" s="170">
        <f t="shared" si="2"/>
        <v>34.956000000000003</v>
      </c>
      <c r="X6" s="170">
        <f t="shared" si="3"/>
        <v>122.532</v>
      </c>
      <c r="Y6" s="178">
        <f>+IF(X6="","",LoadCase!B6)</f>
        <v>1</v>
      </c>
      <c r="Z6" s="177">
        <f t="shared" si="4"/>
        <v>1</v>
      </c>
      <c r="AA6" s="177">
        <f>+IF(N6="","",'Octagonal Footing'!$C$19)</f>
        <v>150</v>
      </c>
      <c r="AB6" s="184">
        <v>128.86833121093065</v>
      </c>
      <c r="AC6" s="171">
        <v>56.406219707190438</v>
      </c>
      <c r="AD6" s="171">
        <v>83.008834658606574</v>
      </c>
      <c r="AE6" s="171">
        <f t="shared" si="5"/>
        <v>7.7598583810572358E-3</v>
      </c>
      <c r="AF6" s="171">
        <f t="shared" si="0"/>
        <v>1.7728541377016335E-2</v>
      </c>
      <c r="AG6" s="171">
        <f t="shared" si="0"/>
        <v>1.2046910477815236E-2</v>
      </c>
    </row>
    <row r="7" spans="1:33" ht="15" customHeight="1">
      <c r="A7">
        <v>1</v>
      </c>
      <c r="B7" t="s">
        <v>180</v>
      </c>
      <c r="C7">
        <v>2</v>
      </c>
      <c r="D7">
        <v>-3164.75</v>
      </c>
      <c r="E7">
        <v>34.956000000000003</v>
      </c>
      <c r="F7">
        <v>0</v>
      </c>
      <c r="G7">
        <v>0</v>
      </c>
      <c r="H7">
        <v>0</v>
      </c>
      <c r="I7">
        <v>122.532</v>
      </c>
      <c r="M7" s="170">
        <v>1</v>
      </c>
      <c r="N7" s="170" t="s">
        <v>183</v>
      </c>
      <c r="O7" s="170">
        <v>2</v>
      </c>
      <c r="P7" s="171">
        <v>-3164.75</v>
      </c>
      <c r="Q7" s="171">
        <v>-24.713999999999999</v>
      </c>
      <c r="R7" s="171">
        <v>24.713999999999999</v>
      </c>
      <c r="S7" s="171">
        <v>0</v>
      </c>
      <c r="T7" s="171">
        <v>-86.63</v>
      </c>
      <c r="U7" s="171">
        <v>-86.63</v>
      </c>
      <c r="V7" s="171">
        <f t="shared" si="1"/>
        <v>3164.75</v>
      </c>
      <c r="W7" s="170">
        <f t="shared" si="2"/>
        <v>34.950873980488673</v>
      </c>
      <c r="X7" s="170">
        <f t="shared" si="3"/>
        <v>122.51332090838122</v>
      </c>
      <c r="Y7" s="178">
        <f>+IF(X7="","",LoadCase!B7)</f>
        <v>1</v>
      </c>
      <c r="Z7" s="177">
        <f t="shared" si="4"/>
        <v>1</v>
      </c>
      <c r="AA7" s="177">
        <f>+IF(N7="","",'Octagonal Footing'!$C$19)</f>
        <v>150</v>
      </c>
      <c r="AB7" s="184">
        <v>128.88778853071966</v>
      </c>
      <c r="AC7" s="171">
        <v>56.414492444030749</v>
      </c>
      <c r="AD7" s="171">
        <v>83.008448689442702</v>
      </c>
      <c r="AE7" s="171">
        <f t="shared" si="5"/>
        <v>7.758686927595594E-3</v>
      </c>
      <c r="AF7" s="171">
        <f t="shared" si="0"/>
        <v>1.7725941627359455E-2</v>
      </c>
      <c r="AG7" s="171">
        <f t="shared" si="0"/>
        <v>1.20469664930286E-2</v>
      </c>
    </row>
    <row r="8" spans="1:33" ht="15" customHeight="1">
      <c r="A8">
        <v>1</v>
      </c>
      <c r="B8" t="s">
        <v>181</v>
      </c>
      <c r="C8">
        <v>1</v>
      </c>
      <c r="D8">
        <v>5377.9110000000001</v>
      </c>
      <c r="E8">
        <v>0</v>
      </c>
      <c r="F8">
        <v>-34.956000000000003</v>
      </c>
      <c r="G8">
        <v>0</v>
      </c>
      <c r="H8">
        <v>167.97499999999999</v>
      </c>
      <c r="I8">
        <v>0</v>
      </c>
      <c r="M8" s="170">
        <v>1</v>
      </c>
      <c r="N8" s="170" t="s">
        <v>184</v>
      </c>
      <c r="O8" s="170">
        <v>2</v>
      </c>
      <c r="P8" s="171">
        <v>-3164.75</v>
      </c>
      <c r="Q8" s="171">
        <v>24.713999999999999</v>
      </c>
      <c r="R8" s="171">
        <v>-24.713999999999999</v>
      </c>
      <c r="S8" s="171">
        <v>0</v>
      </c>
      <c r="T8" s="171">
        <v>86.63</v>
      </c>
      <c r="U8" s="171">
        <v>86.63</v>
      </c>
      <c r="V8" s="171">
        <f t="shared" si="1"/>
        <v>3164.75</v>
      </c>
      <c r="W8" s="170">
        <f t="shared" si="2"/>
        <v>34.950873980488673</v>
      </c>
      <c r="X8" s="170">
        <f t="shared" si="3"/>
        <v>122.51332090838122</v>
      </c>
      <c r="Y8" s="178">
        <f>+IF(X8="","",LoadCase!B8)</f>
        <v>1</v>
      </c>
      <c r="Z8" s="177">
        <f t="shared" si="4"/>
        <v>1</v>
      </c>
      <c r="AA8" s="177">
        <f>+IF(N8="","",'Octagonal Footing'!$C$19)</f>
        <v>150</v>
      </c>
      <c r="AB8" s="184">
        <v>128.88778853071966</v>
      </c>
      <c r="AC8" s="171">
        <v>56.414492444030749</v>
      </c>
      <c r="AD8" s="171">
        <v>83.008448689442702</v>
      </c>
      <c r="AE8" s="171">
        <f t="shared" si="5"/>
        <v>7.758686927595594E-3</v>
      </c>
      <c r="AF8" s="171">
        <f t="shared" si="0"/>
        <v>1.7725941627359455E-2</v>
      </c>
      <c r="AG8" s="171">
        <f t="shared" si="0"/>
        <v>1.20469664930286E-2</v>
      </c>
    </row>
    <row r="9" spans="1:33" ht="15" customHeight="1">
      <c r="A9">
        <v>1</v>
      </c>
      <c r="B9" t="s">
        <v>181</v>
      </c>
      <c r="C9">
        <v>2</v>
      </c>
      <c r="D9">
        <v>-3164.75</v>
      </c>
      <c r="E9">
        <v>0</v>
      </c>
      <c r="F9">
        <v>34.956000000000003</v>
      </c>
      <c r="G9">
        <v>0</v>
      </c>
      <c r="H9">
        <v>-122.532</v>
      </c>
      <c r="I9">
        <v>0</v>
      </c>
      <c r="M9" s="170">
        <v>1</v>
      </c>
      <c r="N9" s="170" t="s">
        <v>185</v>
      </c>
      <c r="O9" s="170">
        <v>2</v>
      </c>
      <c r="P9" s="171">
        <v>-3164.75</v>
      </c>
      <c r="Q9" s="171">
        <v>-24.713999999999999</v>
      </c>
      <c r="R9" s="171">
        <v>-24.713999999999999</v>
      </c>
      <c r="S9" s="171">
        <v>0</v>
      </c>
      <c r="T9" s="171">
        <v>86.63</v>
      </c>
      <c r="U9" s="171">
        <v>-86.63</v>
      </c>
      <c r="V9" s="171">
        <f t="shared" si="1"/>
        <v>3164.75</v>
      </c>
      <c r="W9" s="170">
        <f t="shared" si="2"/>
        <v>34.950873980488673</v>
      </c>
      <c r="X9" s="170">
        <f t="shared" si="3"/>
        <v>122.51332090838122</v>
      </c>
      <c r="Y9" s="178">
        <f>+IF(X9="","",LoadCase!B9)</f>
        <v>1</v>
      </c>
      <c r="Z9" s="177">
        <f t="shared" si="4"/>
        <v>1</v>
      </c>
      <c r="AA9" s="177">
        <f>+IF(N9="","",'Octagonal Footing'!$C$19)</f>
        <v>150</v>
      </c>
      <c r="AB9" s="184">
        <v>128.88778853071966</v>
      </c>
      <c r="AC9" s="171">
        <v>56.414492444030749</v>
      </c>
      <c r="AD9" s="171">
        <v>83.008448689442702</v>
      </c>
      <c r="AE9" s="171">
        <f t="shared" si="5"/>
        <v>7.758686927595594E-3</v>
      </c>
      <c r="AF9" s="171">
        <f t="shared" si="0"/>
        <v>1.7725941627359455E-2</v>
      </c>
      <c r="AG9" s="171">
        <f t="shared" si="0"/>
        <v>1.20469664930286E-2</v>
      </c>
    </row>
    <row r="10" spans="1:33" ht="15" customHeight="1">
      <c r="A10">
        <v>1</v>
      </c>
      <c r="B10" t="s">
        <v>182</v>
      </c>
      <c r="C10">
        <v>1</v>
      </c>
      <c r="D10">
        <v>5377.9110000000001</v>
      </c>
      <c r="E10">
        <v>0</v>
      </c>
      <c r="F10">
        <v>34.956000000000003</v>
      </c>
      <c r="G10">
        <v>0</v>
      </c>
      <c r="H10">
        <v>-167.97499999999999</v>
      </c>
      <c r="I10">
        <v>0</v>
      </c>
      <c r="M10" s="170">
        <v>1</v>
      </c>
      <c r="N10" s="170" t="s">
        <v>186</v>
      </c>
      <c r="O10" s="170">
        <v>2</v>
      </c>
      <c r="P10" s="171">
        <v>-3164.75</v>
      </c>
      <c r="Q10" s="171">
        <v>24.713999999999999</v>
      </c>
      <c r="R10" s="171">
        <v>24.713999999999999</v>
      </c>
      <c r="S10" s="171">
        <v>0</v>
      </c>
      <c r="T10" s="171">
        <v>-86.63</v>
      </c>
      <c r="U10" s="171">
        <v>86.63</v>
      </c>
      <c r="V10" s="171">
        <f t="shared" si="1"/>
        <v>3164.75</v>
      </c>
      <c r="W10" s="170">
        <f t="shared" si="2"/>
        <v>34.950873980488673</v>
      </c>
      <c r="X10" s="170">
        <f t="shared" si="3"/>
        <v>122.51332090838122</v>
      </c>
      <c r="Y10" s="178">
        <f>+IF(X10="","",LoadCase!B10)</f>
        <v>1</v>
      </c>
      <c r="Z10" s="177">
        <f t="shared" si="4"/>
        <v>1</v>
      </c>
      <c r="AA10" s="177">
        <f>+IF(N10="","",'Octagonal Footing'!$C$19)</f>
        <v>150</v>
      </c>
      <c r="AB10" s="184">
        <v>128.88778853071966</v>
      </c>
      <c r="AC10" s="171">
        <v>56.414492444030749</v>
      </c>
      <c r="AD10" s="171">
        <v>83.008448689442702</v>
      </c>
      <c r="AE10" s="171">
        <f t="shared" si="5"/>
        <v>7.758686927595594E-3</v>
      </c>
      <c r="AF10" s="171">
        <f t="shared" si="0"/>
        <v>1.7725941627359455E-2</v>
      </c>
      <c r="AG10" s="171">
        <f t="shared" si="0"/>
        <v>1.20469664930286E-2</v>
      </c>
    </row>
    <row r="11" spans="1:33" ht="15" customHeight="1">
      <c r="A11">
        <v>1</v>
      </c>
      <c r="B11" t="s">
        <v>182</v>
      </c>
      <c r="C11">
        <v>2</v>
      </c>
      <c r="D11">
        <v>-3164.75</v>
      </c>
      <c r="E11">
        <v>0</v>
      </c>
      <c r="F11">
        <v>-34.956000000000003</v>
      </c>
      <c r="G11">
        <v>0</v>
      </c>
      <c r="H11">
        <v>122.532</v>
      </c>
      <c r="I11">
        <v>0</v>
      </c>
      <c r="M11" s="170">
        <v>1</v>
      </c>
      <c r="N11" s="170" t="s">
        <v>187</v>
      </c>
      <c r="O11" s="170">
        <v>2</v>
      </c>
      <c r="P11" s="171">
        <v>-3164.75</v>
      </c>
      <c r="Q11" s="171">
        <v>-436.1</v>
      </c>
      <c r="R11" s="171">
        <v>0</v>
      </c>
      <c r="S11" s="171">
        <v>0</v>
      </c>
      <c r="T11" s="171">
        <v>0</v>
      </c>
      <c r="U11" s="171">
        <v>-1618.4</v>
      </c>
      <c r="V11" s="171">
        <f t="shared" si="1"/>
        <v>3164.75</v>
      </c>
      <c r="W11" s="170">
        <f t="shared" si="2"/>
        <v>436.1</v>
      </c>
      <c r="X11" s="170">
        <f t="shared" si="3"/>
        <v>1618.4</v>
      </c>
      <c r="Y11" s="178">
        <f>+IF(X11="","",LoadCase!B11)</f>
        <v>1</v>
      </c>
      <c r="Z11" s="177">
        <f t="shared" si="4"/>
        <v>1</v>
      </c>
      <c r="AA11" s="177">
        <f>+IF(N11="","",'Octagonal Footing'!$C$19)</f>
        <v>150</v>
      </c>
      <c r="AB11" s="184">
        <v>9.8967932423047369</v>
      </c>
      <c r="AC11" s="171">
        <v>4.521292859629785</v>
      </c>
      <c r="AD11" s="171">
        <v>113.74360291958675</v>
      </c>
      <c r="AE11" s="171">
        <f t="shared" si="5"/>
        <v>0.10104283029026105</v>
      </c>
      <c r="AF11" s="171">
        <f t="shared" si="0"/>
        <v>0.22117567497759535</v>
      </c>
      <c r="AG11" s="171">
        <f t="shared" si="0"/>
        <v>8.7917032196260687E-3</v>
      </c>
    </row>
    <row r="12" spans="1:33" ht="15" customHeight="1">
      <c r="A12">
        <v>1</v>
      </c>
      <c r="B12" t="s">
        <v>183</v>
      </c>
      <c r="C12">
        <v>1</v>
      </c>
      <c r="D12">
        <v>5377.9110000000001</v>
      </c>
      <c r="E12">
        <v>24.713999999999999</v>
      </c>
      <c r="F12">
        <v>-24.713999999999999</v>
      </c>
      <c r="G12">
        <v>0</v>
      </c>
      <c r="H12">
        <v>118.758</v>
      </c>
      <c r="I12">
        <v>118.758</v>
      </c>
      <c r="M12" s="170">
        <v>1</v>
      </c>
      <c r="N12" s="170" t="s">
        <v>188</v>
      </c>
      <c r="O12" s="170">
        <v>2</v>
      </c>
      <c r="P12" s="171">
        <v>-3164.75</v>
      </c>
      <c r="Q12" s="171">
        <v>436.1</v>
      </c>
      <c r="R12" s="171">
        <v>0</v>
      </c>
      <c r="S12" s="171">
        <v>0</v>
      </c>
      <c r="T12" s="171">
        <v>0</v>
      </c>
      <c r="U12" s="171">
        <v>1618.4</v>
      </c>
      <c r="V12" s="171">
        <f t="shared" si="1"/>
        <v>3164.75</v>
      </c>
      <c r="W12" s="170">
        <f t="shared" si="2"/>
        <v>436.1</v>
      </c>
      <c r="X12" s="170">
        <f t="shared" si="3"/>
        <v>1618.4</v>
      </c>
      <c r="Y12" s="178">
        <f>+IF(X12="","",LoadCase!B12)</f>
        <v>1</v>
      </c>
      <c r="Z12" s="177">
        <f t="shared" si="4"/>
        <v>1</v>
      </c>
      <c r="AA12" s="177">
        <f>+IF(N12="","",'Octagonal Footing'!$C$19)</f>
        <v>150</v>
      </c>
      <c r="AB12" s="184">
        <v>9.8967932423047369</v>
      </c>
      <c r="AC12" s="171">
        <v>4.521292859629785</v>
      </c>
      <c r="AD12" s="171">
        <v>113.74360291958675</v>
      </c>
      <c r="AE12" s="171">
        <f t="shared" si="5"/>
        <v>0.10104283029026105</v>
      </c>
      <c r="AF12" s="171">
        <f t="shared" si="0"/>
        <v>0.22117567497759535</v>
      </c>
      <c r="AG12" s="171">
        <f t="shared" si="0"/>
        <v>8.7917032196260687E-3</v>
      </c>
    </row>
    <row r="13" spans="1:33" ht="15" customHeight="1">
      <c r="A13">
        <v>1</v>
      </c>
      <c r="B13" t="s">
        <v>183</v>
      </c>
      <c r="C13">
        <v>2</v>
      </c>
      <c r="D13">
        <v>-3164.75</v>
      </c>
      <c r="E13">
        <v>-24.713999999999999</v>
      </c>
      <c r="F13">
        <v>24.713999999999999</v>
      </c>
      <c r="G13">
        <v>0</v>
      </c>
      <c r="H13">
        <v>-86.63</v>
      </c>
      <c r="I13">
        <v>-86.63</v>
      </c>
      <c r="M13" s="170">
        <v>1</v>
      </c>
      <c r="N13" s="170" t="s">
        <v>189</v>
      </c>
      <c r="O13" s="170">
        <v>2</v>
      </c>
      <c r="P13" s="171">
        <v>-3164.75</v>
      </c>
      <c r="Q13" s="171">
        <v>0</v>
      </c>
      <c r="R13" s="171">
        <v>436.1</v>
      </c>
      <c r="S13" s="171">
        <v>0</v>
      </c>
      <c r="T13" s="171">
        <v>-1618.4</v>
      </c>
      <c r="U13" s="171">
        <v>0</v>
      </c>
      <c r="V13" s="171">
        <f t="shared" si="1"/>
        <v>3164.75</v>
      </c>
      <c r="W13" s="170">
        <f t="shared" si="2"/>
        <v>436.1</v>
      </c>
      <c r="X13" s="170">
        <f t="shared" si="3"/>
        <v>1618.4</v>
      </c>
      <c r="Y13" s="178">
        <f>+IF(X13="","",LoadCase!B13)</f>
        <v>1</v>
      </c>
      <c r="Z13" s="177">
        <f t="shared" si="4"/>
        <v>1</v>
      </c>
      <c r="AA13" s="177">
        <f>+IF(N13="","",'Octagonal Footing'!$C$19)</f>
        <v>150</v>
      </c>
      <c r="AB13" s="184">
        <v>9.8967932423047369</v>
      </c>
      <c r="AC13" s="171">
        <v>4.521292859629785</v>
      </c>
      <c r="AD13" s="171">
        <v>113.74360291958675</v>
      </c>
      <c r="AE13" s="171">
        <f t="shared" si="5"/>
        <v>0.10104283029026105</v>
      </c>
      <c r="AF13" s="171">
        <f t="shared" si="0"/>
        <v>0.22117567497759535</v>
      </c>
      <c r="AG13" s="171">
        <f t="shared" si="0"/>
        <v>8.7917032196260687E-3</v>
      </c>
    </row>
    <row r="14" spans="1:33" ht="15" customHeight="1">
      <c r="A14">
        <v>1</v>
      </c>
      <c r="B14" t="s">
        <v>184</v>
      </c>
      <c r="C14">
        <v>1</v>
      </c>
      <c r="D14">
        <v>5377.9110000000001</v>
      </c>
      <c r="E14">
        <v>-24.713999999999999</v>
      </c>
      <c r="F14">
        <v>24.713999999999999</v>
      </c>
      <c r="G14">
        <v>0</v>
      </c>
      <c r="H14">
        <v>-118.758</v>
      </c>
      <c r="I14">
        <v>-118.758</v>
      </c>
      <c r="M14" s="170">
        <v>1</v>
      </c>
      <c r="N14" s="170" t="s">
        <v>190</v>
      </c>
      <c r="O14" s="170">
        <v>2</v>
      </c>
      <c r="P14" s="171">
        <v>-3164.75</v>
      </c>
      <c r="Q14" s="171">
        <v>0</v>
      </c>
      <c r="R14" s="171">
        <v>-436.1</v>
      </c>
      <c r="S14" s="171">
        <v>0</v>
      </c>
      <c r="T14" s="171">
        <v>1618.4</v>
      </c>
      <c r="U14" s="171">
        <v>0</v>
      </c>
      <c r="V14" s="171">
        <f t="shared" si="1"/>
        <v>3164.75</v>
      </c>
      <c r="W14" s="170">
        <f t="shared" si="2"/>
        <v>436.1</v>
      </c>
      <c r="X14" s="170">
        <f t="shared" si="3"/>
        <v>1618.4</v>
      </c>
      <c r="Y14" s="178">
        <f>+IF(X14="","",LoadCase!B14)</f>
        <v>1</v>
      </c>
      <c r="Z14" s="177">
        <f t="shared" si="4"/>
        <v>1</v>
      </c>
      <c r="AA14" s="177">
        <f>+IF(N14="","",'Octagonal Footing'!$C$19)</f>
        <v>150</v>
      </c>
      <c r="AB14" s="184">
        <v>9.8967932423047369</v>
      </c>
      <c r="AC14" s="171">
        <v>4.521292859629785</v>
      </c>
      <c r="AD14" s="171">
        <v>113.74360291958675</v>
      </c>
      <c r="AE14" s="171">
        <f t="shared" si="5"/>
        <v>0.10104283029026105</v>
      </c>
      <c r="AF14" s="171">
        <f t="shared" si="0"/>
        <v>0.22117567497759535</v>
      </c>
      <c r="AG14" s="171">
        <f t="shared" si="0"/>
        <v>8.7917032196260687E-3</v>
      </c>
    </row>
    <row r="15" spans="1:33" ht="15" customHeight="1">
      <c r="A15">
        <v>1</v>
      </c>
      <c r="B15" t="s">
        <v>184</v>
      </c>
      <c r="C15">
        <v>2</v>
      </c>
      <c r="D15">
        <v>-3164.75</v>
      </c>
      <c r="E15">
        <v>24.713999999999999</v>
      </c>
      <c r="F15">
        <v>-24.713999999999999</v>
      </c>
      <c r="G15">
        <v>0</v>
      </c>
      <c r="H15">
        <v>86.63</v>
      </c>
      <c r="I15">
        <v>86.63</v>
      </c>
      <c r="M15" s="170">
        <v>1</v>
      </c>
      <c r="N15" s="170" t="s">
        <v>191</v>
      </c>
      <c r="O15" s="170">
        <v>2</v>
      </c>
      <c r="P15" s="171">
        <v>-3164.75</v>
      </c>
      <c r="Q15" s="171">
        <v>-26.216999999999999</v>
      </c>
      <c r="R15" s="171">
        <v>0</v>
      </c>
      <c r="S15" s="171">
        <v>0</v>
      </c>
      <c r="T15" s="171">
        <v>0</v>
      </c>
      <c r="U15" s="171">
        <v>-91.899000000000001</v>
      </c>
      <c r="V15" s="171">
        <f t="shared" si="1"/>
        <v>3164.75</v>
      </c>
      <c r="W15" s="170">
        <f t="shared" si="2"/>
        <v>26.216999999999999</v>
      </c>
      <c r="X15" s="170">
        <f t="shared" si="3"/>
        <v>91.899000000000001</v>
      </c>
      <c r="Y15" s="178">
        <f>+IF(X15="","",LoadCase!B15)</f>
        <v>1</v>
      </c>
      <c r="Z15" s="177">
        <f t="shared" si="4"/>
        <v>1</v>
      </c>
      <c r="AA15" s="177">
        <f>+IF(N15="","",'Octagonal Footing'!$C$19)</f>
        <v>150</v>
      </c>
      <c r="AB15" s="184">
        <v>171.8244416145742</v>
      </c>
      <c r="AC15" s="171">
        <v>75.208292942920593</v>
      </c>
      <c r="AD15" s="171">
        <v>82.369657314128432</v>
      </c>
      <c r="AE15" s="171">
        <f t="shared" si="5"/>
        <v>5.8198937857929268E-3</v>
      </c>
      <c r="AF15" s="171">
        <f t="shared" si="0"/>
        <v>1.3296406032762251E-2</v>
      </c>
      <c r="AG15" s="171">
        <f t="shared" si="0"/>
        <v>1.214039286561989E-2</v>
      </c>
    </row>
    <row r="16" spans="1:33" ht="15" customHeight="1">
      <c r="A16">
        <v>1</v>
      </c>
      <c r="B16" t="s">
        <v>185</v>
      </c>
      <c r="C16">
        <v>1</v>
      </c>
      <c r="D16">
        <v>5377.9110000000001</v>
      </c>
      <c r="E16">
        <v>24.713999999999999</v>
      </c>
      <c r="F16">
        <v>24.713999999999999</v>
      </c>
      <c r="G16">
        <v>0</v>
      </c>
      <c r="H16">
        <v>-118.758</v>
      </c>
      <c r="I16">
        <v>118.758</v>
      </c>
      <c r="M16" s="170">
        <v>1</v>
      </c>
      <c r="N16" s="170" t="s">
        <v>192</v>
      </c>
      <c r="O16" s="170">
        <v>2</v>
      </c>
      <c r="P16" s="171">
        <v>-3164.75</v>
      </c>
      <c r="Q16" s="171">
        <v>26.216999999999999</v>
      </c>
      <c r="R16" s="171">
        <v>0</v>
      </c>
      <c r="S16" s="171">
        <v>0</v>
      </c>
      <c r="T16" s="171">
        <v>0</v>
      </c>
      <c r="U16" s="171">
        <v>91.899000000000001</v>
      </c>
      <c r="V16" s="171">
        <f t="shared" si="1"/>
        <v>3164.75</v>
      </c>
      <c r="W16" s="170">
        <f t="shared" si="2"/>
        <v>26.216999999999999</v>
      </c>
      <c r="X16" s="170">
        <f t="shared" si="3"/>
        <v>91.899000000000001</v>
      </c>
      <c r="Y16" s="178">
        <f>+IF(X16="","",LoadCase!B16)</f>
        <v>1</v>
      </c>
      <c r="Z16" s="177">
        <f t="shared" si="4"/>
        <v>1</v>
      </c>
      <c r="AA16" s="177">
        <f>+IF(N16="","",'Octagonal Footing'!$C$19)</f>
        <v>150</v>
      </c>
      <c r="AB16" s="184">
        <v>171.8244416145742</v>
      </c>
      <c r="AC16" s="171">
        <v>75.208292942920593</v>
      </c>
      <c r="AD16" s="171">
        <v>82.369657314128432</v>
      </c>
      <c r="AE16" s="171">
        <f t="shared" si="5"/>
        <v>5.8198937857929268E-3</v>
      </c>
      <c r="AF16" s="171">
        <f t="shared" si="0"/>
        <v>1.3296406032762251E-2</v>
      </c>
      <c r="AG16" s="171">
        <f t="shared" si="0"/>
        <v>1.214039286561989E-2</v>
      </c>
    </row>
    <row r="17" spans="1:33" ht="15" customHeight="1">
      <c r="A17">
        <v>1</v>
      </c>
      <c r="B17" t="s">
        <v>185</v>
      </c>
      <c r="C17">
        <v>2</v>
      </c>
      <c r="D17">
        <v>-3164.75</v>
      </c>
      <c r="E17">
        <v>-24.713999999999999</v>
      </c>
      <c r="F17">
        <v>-24.713999999999999</v>
      </c>
      <c r="G17">
        <v>0</v>
      </c>
      <c r="H17">
        <v>86.63</v>
      </c>
      <c r="I17">
        <v>-86.63</v>
      </c>
      <c r="M17" s="170">
        <v>1</v>
      </c>
      <c r="N17" s="170" t="s">
        <v>193</v>
      </c>
      <c r="O17" s="170">
        <v>2</v>
      </c>
      <c r="P17" s="171">
        <v>-3164.75</v>
      </c>
      <c r="Q17" s="171">
        <v>0</v>
      </c>
      <c r="R17" s="171">
        <v>26.216999999999999</v>
      </c>
      <c r="S17" s="171">
        <v>0</v>
      </c>
      <c r="T17" s="171">
        <v>-91.899000000000001</v>
      </c>
      <c r="U17" s="171">
        <v>0</v>
      </c>
      <c r="V17" s="171">
        <f t="shared" si="1"/>
        <v>3164.75</v>
      </c>
      <c r="W17" s="170">
        <f t="shared" si="2"/>
        <v>26.216999999999999</v>
      </c>
      <c r="X17" s="170">
        <f t="shared" si="3"/>
        <v>91.899000000000001</v>
      </c>
      <c r="Y17" s="178">
        <f>+IF(X17="","",LoadCase!B17)</f>
        <v>1</v>
      </c>
      <c r="Z17" s="177">
        <f t="shared" si="4"/>
        <v>1</v>
      </c>
      <c r="AA17" s="177">
        <f>+IF(N17="","",'Octagonal Footing'!$C$19)</f>
        <v>150</v>
      </c>
      <c r="AB17" s="184">
        <v>171.8244416145742</v>
      </c>
      <c r="AC17" s="171">
        <v>75.208292942920593</v>
      </c>
      <c r="AD17" s="171">
        <v>82.369657314128432</v>
      </c>
      <c r="AE17" s="171">
        <f t="shared" si="5"/>
        <v>5.8198937857929268E-3</v>
      </c>
      <c r="AF17" s="171">
        <f t="shared" si="0"/>
        <v>1.3296406032762251E-2</v>
      </c>
      <c r="AG17" s="171">
        <f t="shared" si="0"/>
        <v>1.214039286561989E-2</v>
      </c>
    </row>
    <row r="18" spans="1:33" ht="15" customHeight="1">
      <c r="A18">
        <v>1</v>
      </c>
      <c r="B18" t="s">
        <v>186</v>
      </c>
      <c r="C18">
        <v>1</v>
      </c>
      <c r="D18">
        <v>5377.9110000000001</v>
      </c>
      <c r="E18">
        <v>-24.713999999999999</v>
      </c>
      <c r="F18">
        <v>-24.713999999999999</v>
      </c>
      <c r="G18">
        <v>0</v>
      </c>
      <c r="H18">
        <v>118.758</v>
      </c>
      <c r="I18">
        <v>-118.758</v>
      </c>
      <c r="M18" s="170">
        <v>1</v>
      </c>
      <c r="N18" s="170" t="s">
        <v>195</v>
      </c>
      <c r="O18" s="170">
        <v>2</v>
      </c>
      <c r="P18" s="171">
        <v>-3164.75</v>
      </c>
      <c r="Q18" s="171">
        <v>0</v>
      </c>
      <c r="R18" s="171">
        <v>-26.216999999999999</v>
      </c>
      <c r="S18" s="171">
        <v>0</v>
      </c>
      <c r="T18" s="171">
        <v>91.899000000000001</v>
      </c>
      <c r="U18" s="171">
        <v>0</v>
      </c>
      <c r="V18" s="171">
        <f t="shared" si="1"/>
        <v>3164.75</v>
      </c>
      <c r="W18" s="170">
        <f t="shared" si="2"/>
        <v>26.216999999999999</v>
      </c>
      <c r="X18" s="170">
        <f t="shared" si="3"/>
        <v>91.899000000000001</v>
      </c>
      <c r="Y18" s="178">
        <f>+IF(X18="","",LoadCase!B18)</f>
        <v>1</v>
      </c>
      <c r="Z18" s="177">
        <f t="shared" si="4"/>
        <v>1</v>
      </c>
      <c r="AA18" s="177">
        <f>+IF(N18="","",'Octagonal Footing'!$C$19)</f>
        <v>150</v>
      </c>
      <c r="AB18" s="184">
        <v>171.8244416145742</v>
      </c>
      <c r="AC18" s="171">
        <v>75.208292942920593</v>
      </c>
      <c r="AD18" s="171">
        <v>82.369657314128432</v>
      </c>
      <c r="AE18" s="171">
        <f t="shared" si="5"/>
        <v>5.8198937857929268E-3</v>
      </c>
      <c r="AF18" s="171">
        <f t="shared" si="5"/>
        <v>1.3296406032762251E-2</v>
      </c>
      <c r="AG18" s="171">
        <f t="shared" si="5"/>
        <v>1.214039286561989E-2</v>
      </c>
    </row>
    <row r="19" spans="1:33" ht="15" customHeight="1">
      <c r="A19">
        <v>1</v>
      </c>
      <c r="B19" t="s">
        <v>186</v>
      </c>
      <c r="C19">
        <v>2</v>
      </c>
      <c r="D19">
        <v>-3164.75</v>
      </c>
      <c r="E19">
        <v>24.713999999999999</v>
      </c>
      <c r="F19">
        <v>24.713999999999999</v>
      </c>
      <c r="G19">
        <v>0</v>
      </c>
      <c r="H19">
        <v>-86.63</v>
      </c>
      <c r="I19">
        <v>86.63</v>
      </c>
      <c r="M19" s="170">
        <v>1</v>
      </c>
      <c r="N19" s="170" t="s">
        <v>196</v>
      </c>
      <c r="O19" s="170">
        <v>2</v>
      </c>
      <c r="P19" s="171">
        <v>-3164.75</v>
      </c>
      <c r="Q19" s="171">
        <v>-18.535</v>
      </c>
      <c r="R19" s="171">
        <v>18.535</v>
      </c>
      <c r="S19" s="171">
        <v>0</v>
      </c>
      <c r="T19" s="171">
        <v>-64.972999999999999</v>
      </c>
      <c r="U19" s="171">
        <v>-64.972999999999999</v>
      </c>
      <c r="V19" s="171">
        <f t="shared" si="1"/>
        <v>3164.75</v>
      </c>
      <c r="W19" s="170">
        <f t="shared" si="2"/>
        <v>26.212448378585318</v>
      </c>
      <c r="X19" s="170">
        <f t="shared" si="3"/>
        <v>91.885697788067105</v>
      </c>
      <c r="Y19" s="178">
        <f>+IF(X19="","",LoadCase!B19)</f>
        <v>1</v>
      </c>
      <c r="Z19" s="177">
        <f t="shared" si="4"/>
        <v>1</v>
      </c>
      <c r="AA19" s="177">
        <f>+IF(N19="","",'Octagonal Footing'!$C$19)</f>
        <v>150</v>
      </c>
      <c r="AB19" s="184">
        <v>171.85058174986057</v>
      </c>
      <c r="AC19" s="171">
        <v>75.221352374522581</v>
      </c>
      <c r="AD19" s="171">
        <v>82.369365638963529</v>
      </c>
      <c r="AE19" s="171">
        <f t="shared" si="5"/>
        <v>5.8190085236694954E-3</v>
      </c>
      <c r="AF19" s="171">
        <f t="shared" si="5"/>
        <v>1.3294097599057515E-2</v>
      </c>
      <c r="AG19" s="171">
        <f t="shared" si="5"/>
        <v>1.2140435855523522E-2</v>
      </c>
    </row>
    <row r="20" spans="1:33" ht="15" customHeight="1">
      <c r="A20">
        <v>1</v>
      </c>
      <c r="B20" t="s">
        <v>187</v>
      </c>
      <c r="C20">
        <v>1</v>
      </c>
      <c r="D20">
        <v>5377.9110000000001</v>
      </c>
      <c r="E20">
        <v>436.1</v>
      </c>
      <c r="F20">
        <v>0</v>
      </c>
      <c r="G20">
        <v>0</v>
      </c>
      <c r="H20">
        <v>0</v>
      </c>
      <c r="I20">
        <v>2185.3290000000002</v>
      </c>
      <c r="M20" s="170">
        <v>1</v>
      </c>
      <c r="N20" s="170" t="s">
        <v>197</v>
      </c>
      <c r="O20" s="170">
        <v>2</v>
      </c>
      <c r="P20" s="171">
        <v>-3164.75</v>
      </c>
      <c r="Q20" s="171">
        <v>18.535</v>
      </c>
      <c r="R20" s="171">
        <v>-18.535</v>
      </c>
      <c r="S20" s="171">
        <v>0</v>
      </c>
      <c r="T20" s="171">
        <v>64.972999999999999</v>
      </c>
      <c r="U20" s="171">
        <v>64.972999999999999</v>
      </c>
      <c r="V20" s="171">
        <f t="shared" si="1"/>
        <v>3164.75</v>
      </c>
      <c r="W20" s="170">
        <f t="shared" si="2"/>
        <v>26.212448378585318</v>
      </c>
      <c r="X20" s="170">
        <f t="shared" si="3"/>
        <v>91.885697788067105</v>
      </c>
      <c r="Y20" s="178">
        <f>+IF(X20="","",LoadCase!B20)</f>
        <v>1</v>
      </c>
      <c r="Z20" s="177">
        <f t="shared" si="4"/>
        <v>1</v>
      </c>
      <c r="AA20" s="177">
        <f>+IF(N20="","",'Octagonal Footing'!$C$19)</f>
        <v>150</v>
      </c>
      <c r="AB20" s="184">
        <v>171.85058174986057</v>
      </c>
      <c r="AC20" s="171">
        <v>75.221352374522581</v>
      </c>
      <c r="AD20" s="171">
        <v>82.369365638963529</v>
      </c>
      <c r="AE20" s="171">
        <f t="shared" si="5"/>
        <v>5.8190085236694954E-3</v>
      </c>
      <c r="AF20" s="171">
        <f t="shared" si="5"/>
        <v>1.3294097599057515E-2</v>
      </c>
      <c r="AG20" s="171">
        <f t="shared" si="5"/>
        <v>1.2140435855523522E-2</v>
      </c>
    </row>
    <row r="21" spans="1:33" ht="15" customHeight="1">
      <c r="A21">
        <v>1</v>
      </c>
      <c r="B21" t="s">
        <v>187</v>
      </c>
      <c r="C21">
        <v>2</v>
      </c>
      <c r="D21">
        <v>-3164.75</v>
      </c>
      <c r="E21">
        <v>-436.1</v>
      </c>
      <c r="F21">
        <v>0</v>
      </c>
      <c r="G21">
        <v>0</v>
      </c>
      <c r="H21">
        <v>0</v>
      </c>
      <c r="I21">
        <v>-1618.4</v>
      </c>
      <c r="M21" s="170">
        <v>1</v>
      </c>
      <c r="N21" s="170" t="s">
        <v>198</v>
      </c>
      <c r="O21" s="170">
        <v>2</v>
      </c>
      <c r="P21" s="171">
        <v>-3164.75</v>
      </c>
      <c r="Q21" s="171">
        <v>-18.535</v>
      </c>
      <c r="R21" s="171">
        <v>-18.535</v>
      </c>
      <c r="S21" s="171">
        <v>0</v>
      </c>
      <c r="T21" s="171">
        <v>64.972999999999999</v>
      </c>
      <c r="U21" s="171">
        <v>-64.972999999999999</v>
      </c>
      <c r="V21" s="171">
        <f t="shared" si="1"/>
        <v>3164.75</v>
      </c>
      <c r="W21" s="170">
        <f t="shared" si="2"/>
        <v>26.212448378585318</v>
      </c>
      <c r="X21" s="170">
        <f t="shared" si="3"/>
        <v>91.885697788067105</v>
      </c>
      <c r="Y21" s="178">
        <f>+IF(X21="","",LoadCase!B21)</f>
        <v>1</v>
      </c>
      <c r="Z21" s="177">
        <f t="shared" si="4"/>
        <v>1</v>
      </c>
      <c r="AA21" s="177">
        <f>+IF(N21="","",'Octagonal Footing'!$C$19)</f>
        <v>150</v>
      </c>
      <c r="AB21" s="184">
        <v>171.85058174986057</v>
      </c>
      <c r="AC21" s="171">
        <v>75.221352374522581</v>
      </c>
      <c r="AD21" s="171">
        <v>82.369365638963529</v>
      </c>
      <c r="AE21" s="171">
        <f t="shared" si="5"/>
        <v>5.8190085236694954E-3</v>
      </c>
      <c r="AF21" s="171">
        <f t="shared" si="5"/>
        <v>1.3294097599057515E-2</v>
      </c>
      <c r="AG21" s="171">
        <f t="shared" si="5"/>
        <v>1.2140435855523522E-2</v>
      </c>
    </row>
    <row r="22" spans="1:33" ht="15" customHeight="1">
      <c r="A22">
        <v>1</v>
      </c>
      <c r="B22" t="s">
        <v>188</v>
      </c>
      <c r="C22">
        <v>1</v>
      </c>
      <c r="D22">
        <v>5377.9110000000001</v>
      </c>
      <c r="E22">
        <v>-436.1</v>
      </c>
      <c r="F22">
        <v>0</v>
      </c>
      <c r="G22">
        <v>0</v>
      </c>
      <c r="H22">
        <v>0</v>
      </c>
      <c r="I22">
        <v>-2185.3290000000002</v>
      </c>
      <c r="M22" s="170">
        <v>1</v>
      </c>
      <c r="N22" s="170" t="s">
        <v>199</v>
      </c>
      <c r="O22" s="170">
        <v>2</v>
      </c>
      <c r="P22" s="171">
        <v>-3164.75</v>
      </c>
      <c r="Q22" s="171">
        <v>18.535</v>
      </c>
      <c r="R22" s="171">
        <v>18.535</v>
      </c>
      <c r="S22" s="171">
        <v>0</v>
      </c>
      <c r="T22" s="171">
        <v>-64.972999999999999</v>
      </c>
      <c r="U22" s="171">
        <v>64.972999999999999</v>
      </c>
      <c r="V22" s="171">
        <f t="shared" si="1"/>
        <v>3164.75</v>
      </c>
      <c r="W22" s="170">
        <f t="shared" si="2"/>
        <v>26.212448378585318</v>
      </c>
      <c r="X22" s="170">
        <f t="shared" si="3"/>
        <v>91.885697788067105</v>
      </c>
      <c r="Y22" s="178">
        <f>+IF(X22="","",LoadCase!B22)</f>
        <v>1</v>
      </c>
      <c r="Z22" s="177">
        <f t="shared" si="4"/>
        <v>1</v>
      </c>
      <c r="AA22" s="177">
        <f>+IF(N22="","",'Octagonal Footing'!$C$19)</f>
        <v>150</v>
      </c>
      <c r="AB22" s="184">
        <v>171.85058174986057</v>
      </c>
      <c r="AC22" s="171">
        <v>75.221352374522581</v>
      </c>
      <c r="AD22" s="171">
        <v>82.369365638963529</v>
      </c>
      <c r="AE22" s="171">
        <f t="shared" si="5"/>
        <v>5.8190085236694954E-3</v>
      </c>
      <c r="AF22" s="171">
        <f t="shared" si="5"/>
        <v>1.3294097599057515E-2</v>
      </c>
      <c r="AG22" s="171">
        <f t="shared" si="5"/>
        <v>1.2140435855523522E-2</v>
      </c>
    </row>
    <row r="23" spans="1:33" ht="15" customHeight="1">
      <c r="A23">
        <v>1</v>
      </c>
      <c r="B23" t="s">
        <v>188</v>
      </c>
      <c r="C23">
        <v>2</v>
      </c>
      <c r="D23">
        <v>-3164.75</v>
      </c>
      <c r="E23">
        <v>436.1</v>
      </c>
      <c r="F23">
        <v>0</v>
      </c>
      <c r="G23">
        <v>0</v>
      </c>
      <c r="H23">
        <v>0</v>
      </c>
      <c r="I23">
        <v>1618.4</v>
      </c>
      <c r="M23" s="170">
        <v>1</v>
      </c>
      <c r="N23" s="170" t="s">
        <v>200</v>
      </c>
      <c r="O23" s="170">
        <v>2</v>
      </c>
      <c r="P23" s="171">
        <v>-3164.75</v>
      </c>
      <c r="Q23" s="171">
        <v>-327.07499999999999</v>
      </c>
      <c r="R23" s="171">
        <v>0</v>
      </c>
      <c r="S23" s="171">
        <v>0</v>
      </c>
      <c r="T23" s="171">
        <v>0</v>
      </c>
      <c r="U23" s="171">
        <v>-1213.8</v>
      </c>
      <c r="V23" s="171">
        <f t="shared" si="1"/>
        <v>3164.75</v>
      </c>
      <c r="W23" s="170">
        <f t="shared" si="2"/>
        <v>327.07499999999999</v>
      </c>
      <c r="X23" s="170">
        <f t="shared" si="3"/>
        <v>1213.8</v>
      </c>
      <c r="Y23" s="178">
        <f>+IF(X23="","",LoadCase!B23)</f>
        <v>1</v>
      </c>
      <c r="Z23" s="177">
        <f t="shared" si="4"/>
        <v>1</v>
      </c>
      <c r="AA23" s="177">
        <f>+IF(N23="","",'Octagonal Footing'!$C$19)</f>
        <v>150</v>
      </c>
      <c r="AB23" s="184">
        <v>13.195724323072984</v>
      </c>
      <c r="AC23" s="171">
        <v>6.0283904795063803</v>
      </c>
      <c r="AD23" s="171">
        <v>105.42073350986355</v>
      </c>
      <c r="AE23" s="171">
        <f t="shared" si="5"/>
        <v>7.5782122717695785E-2</v>
      </c>
      <c r="AF23" s="171">
        <f t="shared" si="5"/>
        <v>0.16588175623319651</v>
      </c>
      <c r="AG23" s="171">
        <f t="shared" si="5"/>
        <v>9.4858000575990704E-3</v>
      </c>
    </row>
    <row r="24" spans="1:33" ht="15" customHeight="1">
      <c r="A24">
        <v>1</v>
      </c>
      <c r="B24" t="s">
        <v>189</v>
      </c>
      <c r="C24">
        <v>1</v>
      </c>
      <c r="D24">
        <v>5377.9110000000001</v>
      </c>
      <c r="E24">
        <v>0</v>
      </c>
      <c r="F24">
        <v>-436.1</v>
      </c>
      <c r="G24">
        <v>0</v>
      </c>
      <c r="H24">
        <v>2185.3290000000002</v>
      </c>
      <c r="I24">
        <v>0</v>
      </c>
      <c r="M24" s="170">
        <v>1</v>
      </c>
      <c r="N24" s="170" t="s">
        <v>201</v>
      </c>
      <c r="O24" s="170">
        <v>2</v>
      </c>
      <c r="P24" s="171">
        <v>-3164.75</v>
      </c>
      <c r="Q24" s="171">
        <v>327.07499999999999</v>
      </c>
      <c r="R24" s="171">
        <v>0</v>
      </c>
      <c r="S24" s="171">
        <v>0</v>
      </c>
      <c r="T24" s="171">
        <v>0</v>
      </c>
      <c r="U24" s="171">
        <v>1213.8</v>
      </c>
      <c r="V24" s="171">
        <f t="shared" si="1"/>
        <v>3164.75</v>
      </c>
      <c r="W24" s="170">
        <f t="shared" si="2"/>
        <v>327.07499999999999</v>
      </c>
      <c r="X24" s="170">
        <f t="shared" si="3"/>
        <v>1213.8</v>
      </c>
      <c r="Y24" s="178">
        <f>+IF(X24="","",LoadCase!B24)</f>
        <v>1</v>
      </c>
      <c r="Z24" s="177">
        <f t="shared" si="4"/>
        <v>1</v>
      </c>
      <c r="AA24" s="177">
        <f>+IF(N24="","",'Octagonal Footing'!$C$19)</f>
        <v>150</v>
      </c>
      <c r="AB24" s="184">
        <v>13.195724323072984</v>
      </c>
      <c r="AC24" s="171">
        <v>6.0283904795063803</v>
      </c>
      <c r="AD24" s="171">
        <v>105.42073350986355</v>
      </c>
      <c r="AE24" s="171">
        <f t="shared" si="5"/>
        <v>7.5782122717695785E-2</v>
      </c>
      <c r="AF24" s="171">
        <f t="shared" si="5"/>
        <v>0.16588175623319651</v>
      </c>
      <c r="AG24" s="171">
        <f t="shared" si="5"/>
        <v>9.4858000575990704E-3</v>
      </c>
    </row>
    <row r="25" spans="1:33" ht="15" customHeight="1">
      <c r="A25">
        <v>1</v>
      </c>
      <c r="B25" t="s">
        <v>189</v>
      </c>
      <c r="C25">
        <v>2</v>
      </c>
      <c r="D25">
        <v>-3164.75</v>
      </c>
      <c r="E25">
        <v>0</v>
      </c>
      <c r="F25">
        <v>436.1</v>
      </c>
      <c r="G25">
        <v>0</v>
      </c>
      <c r="H25">
        <v>-1618.4</v>
      </c>
      <c r="I25">
        <v>0</v>
      </c>
      <c r="M25" s="170">
        <v>1</v>
      </c>
      <c r="N25" s="170" t="s">
        <v>202</v>
      </c>
      <c r="O25" s="170">
        <v>2</v>
      </c>
      <c r="P25" s="171">
        <v>-3164.75</v>
      </c>
      <c r="Q25" s="171">
        <v>0</v>
      </c>
      <c r="R25" s="171">
        <v>327.07499999999999</v>
      </c>
      <c r="S25" s="171">
        <v>0</v>
      </c>
      <c r="T25" s="171">
        <v>-1213.8</v>
      </c>
      <c r="U25" s="171">
        <v>0</v>
      </c>
      <c r="V25" s="171">
        <f t="shared" si="1"/>
        <v>3164.75</v>
      </c>
      <c r="W25" s="170">
        <f t="shared" si="2"/>
        <v>327.07499999999999</v>
      </c>
      <c r="X25" s="170">
        <f t="shared" si="3"/>
        <v>1213.8</v>
      </c>
      <c r="Y25" s="178">
        <f>+IF(X25="","",LoadCase!B25)</f>
        <v>1</v>
      </c>
      <c r="Z25" s="177">
        <f t="shared" si="4"/>
        <v>1</v>
      </c>
      <c r="AA25" s="177">
        <f>+IF(N25="","",'Octagonal Footing'!$C$19)</f>
        <v>150</v>
      </c>
      <c r="AB25" s="184">
        <v>13.195724323072984</v>
      </c>
      <c r="AC25" s="171">
        <v>6.0283904795063803</v>
      </c>
      <c r="AD25" s="171">
        <v>105.42073350986355</v>
      </c>
      <c r="AE25" s="171">
        <f t="shared" si="5"/>
        <v>7.5782122717695785E-2</v>
      </c>
      <c r="AF25" s="171">
        <f t="shared" si="5"/>
        <v>0.16588175623319651</v>
      </c>
      <c r="AG25" s="171">
        <f t="shared" si="5"/>
        <v>9.4858000575990704E-3</v>
      </c>
    </row>
    <row r="26" spans="1:33" ht="15" customHeight="1">
      <c r="A26">
        <v>1</v>
      </c>
      <c r="B26" t="s">
        <v>190</v>
      </c>
      <c r="C26">
        <v>1</v>
      </c>
      <c r="D26">
        <v>5377.9110000000001</v>
      </c>
      <c r="E26">
        <v>0</v>
      </c>
      <c r="F26">
        <v>436.1</v>
      </c>
      <c r="G26">
        <v>0</v>
      </c>
      <c r="H26">
        <v>-2185.3290000000002</v>
      </c>
      <c r="I26">
        <v>0</v>
      </c>
      <c r="M26" s="170">
        <v>1</v>
      </c>
      <c r="N26" s="170" t="s">
        <v>203</v>
      </c>
      <c r="O26" s="170">
        <v>2</v>
      </c>
      <c r="P26" s="171">
        <v>-3164.75</v>
      </c>
      <c r="Q26" s="171">
        <v>0</v>
      </c>
      <c r="R26" s="171">
        <v>-327.07499999999999</v>
      </c>
      <c r="S26" s="171">
        <v>0</v>
      </c>
      <c r="T26" s="171">
        <v>1213.8</v>
      </c>
      <c r="U26" s="171">
        <v>0</v>
      </c>
      <c r="V26" s="171">
        <f t="shared" si="1"/>
        <v>3164.75</v>
      </c>
      <c r="W26" s="170">
        <f t="shared" si="2"/>
        <v>327.07499999999999</v>
      </c>
      <c r="X26" s="170">
        <f t="shared" si="3"/>
        <v>1213.8</v>
      </c>
      <c r="Y26" s="178">
        <f>+IF(X26="","",LoadCase!B26)</f>
        <v>1</v>
      </c>
      <c r="Z26" s="177">
        <f t="shared" si="4"/>
        <v>1</v>
      </c>
      <c r="AA26" s="177">
        <f>+IF(N26="","",'Octagonal Footing'!$C$19)</f>
        <v>150</v>
      </c>
      <c r="AB26" s="184">
        <v>13.195724323072984</v>
      </c>
      <c r="AC26" s="171">
        <v>6.0283904795063803</v>
      </c>
      <c r="AD26" s="171">
        <v>105.42073350986355</v>
      </c>
      <c r="AE26" s="171">
        <f t="shared" si="5"/>
        <v>7.5782122717695785E-2</v>
      </c>
      <c r="AF26" s="171">
        <f t="shared" si="5"/>
        <v>0.16588175623319651</v>
      </c>
      <c r="AG26" s="171">
        <f t="shared" si="5"/>
        <v>9.4858000575990704E-3</v>
      </c>
    </row>
    <row r="27" spans="1:33" ht="15" customHeight="1">
      <c r="A27">
        <v>1</v>
      </c>
      <c r="B27" t="s">
        <v>190</v>
      </c>
      <c r="C27">
        <v>2</v>
      </c>
      <c r="D27">
        <v>-3164.75</v>
      </c>
      <c r="E27">
        <v>0</v>
      </c>
      <c r="F27">
        <v>-436.1</v>
      </c>
      <c r="G27">
        <v>0</v>
      </c>
      <c r="H27">
        <v>1618.4</v>
      </c>
      <c r="I27">
        <v>0</v>
      </c>
      <c r="M27" s="170">
        <v>1</v>
      </c>
      <c r="N27" s="170" t="s">
        <v>204</v>
      </c>
      <c r="O27" s="170">
        <v>2</v>
      </c>
      <c r="P27" s="171">
        <v>-3345.0509999999999</v>
      </c>
      <c r="Q27" s="171">
        <v>-17.478000000000002</v>
      </c>
      <c r="R27" s="171">
        <v>0</v>
      </c>
      <c r="S27" s="171">
        <v>0</v>
      </c>
      <c r="T27" s="171">
        <v>0</v>
      </c>
      <c r="U27" s="171">
        <v>-61.265999999999998</v>
      </c>
      <c r="V27" s="171">
        <f t="shared" si="1"/>
        <v>3345.0509999999999</v>
      </c>
      <c r="W27" s="170">
        <f t="shared" si="2"/>
        <v>17.478000000000002</v>
      </c>
      <c r="X27" s="170">
        <f t="shared" si="3"/>
        <v>61.265999999999998</v>
      </c>
      <c r="Y27" s="178">
        <f>+IF(X27="","",LoadCase!B27)</f>
        <v>1</v>
      </c>
      <c r="Z27" s="177">
        <f t="shared" si="4"/>
        <v>1</v>
      </c>
      <c r="AA27" s="177">
        <f>+IF(N27="","",'Octagonal Footing'!$C$19)</f>
        <v>150</v>
      </c>
      <c r="AB27" s="184">
        <v>267.1639249571848</v>
      </c>
      <c r="AC27" s="171">
        <v>116.93879254402957</v>
      </c>
      <c r="AD27" s="171">
        <v>84.673186294078548</v>
      </c>
      <c r="AE27" s="171">
        <f t="shared" si="5"/>
        <v>3.7430203204278354E-3</v>
      </c>
      <c r="AF27" s="171">
        <f t="shared" si="5"/>
        <v>8.5514821749461956E-3</v>
      </c>
      <c r="AG27" s="171">
        <f t="shared" si="5"/>
        <v>1.1810114202232791E-2</v>
      </c>
    </row>
    <row r="28" spans="1:33" ht="15" customHeight="1">
      <c r="A28">
        <v>1</v>
      </c>
      <c r="B28" t="s">
        <v>191</v>
      </c>
      <c r="C28">
        <v>1</v>
      </c>
      <c r="D28">
        <v>5377.9110000000001</v>
      </c>
      <c r="E28">
        <v>26.216999999999999</v>
      </c>
      <c r="F28">
        <v>0</v>
      </c>
      <c r="G28">
        <v>0</v>
      </c>
      <c r="H28">
        <v>0</v>
      </c>
      <c r="I28">
        <v>125.98099999999999</v>
      </c>
      <c r="M28" s="170">
        <v>1</v>
      </c>
      <c r="N28" s="170" t="s">
        <v>205</v>
      </c>
      <c r="O28" s="170">
        <v>2</v>
      </c>
      <c r="P28" s="171">
        <v>-3345.0509999999999</v>
      </c>
      <c r="Q28" s="171">
        <v>17.478000000000002</v>
      </c>
      <c r="R28" s="171">
        <v>0</v>
      </c>
      <c r="S28" s="171">
        <v>0</v>
      </c>
      <c r="T28" s="171">
        <v>0</v>
      </c>
      <c r="U28" s="171">
        <v>61.265999999999998</v>
      </c>
      <c r="V28" s="171">
        <f t="shared" si="1"/>
        <v>3345.0509999999999</v>
      </c>
      <c r="W28" s="170">
        <f t="shared" si="2"/>
        <v>17.478000000000002</v>
      </c>
      <c r="X28" s="170">
        <f t="shared" si="3"/>
        <v>61.265999999999998</v>
      </c>
      <c r="Y28" s="178">
        <f>+IF(X28="","",LoadCase!B28)</f>
        <v>1</v>
      </c>
      <c r="Z28" s="177">
        <f t="shared" si="4"/>
        <v>1</v>
      </c>
      <c r="AA28" s="177">
        <f>+IF(N28="","",'Octagonal Footing'!$C$19)</f>
        <v>150</v>
      </c>
      <c r="AB28" s="184">
        <v>267.1639249571848</v>
      </c>
      <c r="AC28" s="171">
        <v>116.93879254402957</v>
      </c>
      <c r="AD28" s="171">
        <v>84.673186294078548</v>
      </c>
      <c r="AE28" s="171">
        <f t="shared" si="5"/>
        <v>3.7430203204278354E-3</v>
      </c>
      <c r="AF28" s="171">
        <f t="shared" si="5"/>
        <v>8.5514821749461956E-3</v>
      </c>
      <c r="AG28" s="171">
        <f t="shared" si="5"/>
        <v>1.1810114202232791E-2</v>
      </c>
    </row>
    <row r="29" spans="1:33" ht="15" customHeight="1">
      <c r="A29">
        <v>1</v>
      </c>
      <c r="B29" t="s">
        <v>191</v>
      </c>
      <c r="C29">
        <v>2</v>
      </c>
      <c r="D29">
        <v>-3164.75</v>
      </c>
      <c r="E29">
        <v>-26.216999999999999</v>
      </c>
      <c r="F29">
        <v>0</v>
      </c>
      <c r="G29">
        <v>0</v>
      </c>
      <c r="H29">
        <v>0</v>
      </c>
      <c r="I29">
        <v>-91.899000000000001</v>
      </c>
      <c r="M29" s="170">
        <v>1</v>
      </c>
      <c r="N29" s="170" t="s">
        <v>206</v>
      </c>
      <c r="O29" s="170">
        <v>2</v>
      </c>
      <c r="P29" s="171">
        <v>-3345.0509999999999</v>
      </c>
      <c r="Q29" s="171">
        <v>0</v>
      </c>
      <c r="R29" s="171">
        <v>17.478000000000002</v>
      </c>
      <c r="S29" s="171">
        <v>0</v>
      </c>
      <c r="T29" s="171">
        <v>-61.265999999999998</v>
      </c>
      <c r="U29" s="171">
        <v>0</v>
      </c>
      <c r="V29" s="171">
        <f t="shared" si="1"/>
        <v>3345.0509999999999</v>
      </c>
      <c r="W29" s="170">
        <f t="shared" si="2"/>
        <v>17.478000000000002</v>
      </c>
      <c r="X29" s="170">
        <f t="shared" si="3"/>
        <v>61.265999999999998</v>
      </c>
      <c r="Y29" s="178">
        <f>+IF(X29="","",LoadCase!B29)</f>
        <v>1</v>
      </c>
      <c r="Z29" s="177">
        <f t="shared" si="4"/>
        <v>1</v>
      </c>
      <c r="AA29" s="177">
        <f>+IF(N29="","",'Octagonal Footing'!$C$19)</f>
        <v>150</v>
      </c>
      <c r="AB29" s="184">
        <v>267.1639249571848</v>
      </c>
      <c r="AC29" s="171">
        <v>116.93879254402957</v>
      </c>
      <c r="AD29" s="171">
        <v>84.673186294078548</v>
      </c>
      <c r="AE29" s="171">
        <f t="shared" si="5"/>
        <v>3.7430203204278354E-3</v>
      </c>
      <c r="AF29" s="171">
        <f t="shared" si="5"/>
        <v>8.5514821749461956E-3</v>
      </c>
      <c r="AG29" s="171">
        <f t="shared" si="5"/>
        <v>1.1810114202232791E-2</v>
      </c>
    </row>
    <row r="30" spans="1:33" ht="15" customHeight="1">
      <c r="A30">
        <v>1</v>
      </c>
      <c r="B30" t="s">
        <v>192</v>
      </c>
      <c r="C30">
        <v>1</v>
      </c>
      <c r="D30">
        <v>5377.9110000000001</v>
      </c>
      <c r="E30">
        <v>-26.216999999999999</v>
      </c>
      <c r="F30">
        <v>0</v>
      </c>
      <c r="G30">
        <v>0</v>
      </c>
      <c r="H30">
        <v>0</v>
      </c>
      <c r="I30">
        <v>-125.98099999999999</v>
      </c>
      <c r="M30" s="170">
        <v>1</v>
      </c>
      <c r="N30" s="170" t="s">
        <v>207</v>
      </c>
      <c r="O30" s="170">
        <v>2</v>
      </c>
      <c r="P30" s="171">
        <v>-3345.0509999999999</v>
      </c>
      <c r="Q30" s="171">
        <v>0</v>
      </c>
      <c r="R30" s="171">
        <v>-17.478000000000002</v>
      </c>
      <c r="S30" s="171">
        <v>0</v>
      </c>
      <c r="T30" s="171">
        <v>61.265999999999998</v>
      </c>
      <c r="U30" s="171">
        <v>0</v>
      </c>
      <c r="V30" s="171">
        <f t="shared" si="1"/>
        <v>3345.0509999999999</v>
      </c>
      <c r="W30" s="170">
        <f t="shared" si="2"/>
        <v>17.478000000000002</v>
      </c>
      <c r="X30" s="170">
        <f t="shared" si="3"/>
        <v>61.265999999999998</v>
      </c>
      <c r="Y30" s="178">
        <f>+IF(X30="","",LoadCase!B30)</f>
        <v>1</v>
      </c>
      <c r="Z30" s="177">
        <f t="shared" si="4"/>
        <v>1</v>
      </c>
      <c r="AA30" s="177">
        <f>+IF(N30="","",'Octagonal Footing'!$C$19)</f>
        <v>150</v>
      </c>
      <c r="AB30" s="184">
        <v>267.1639249571848</v>
      </c>
      <c r="AC30" s="171">
        <v>116.93879254402957</v>
      </c>
      <c r="AD30" s="171">
        <v>84.673186294078548</v>
      </c>
      <c r="AE30" s="171">
        <f t="shared" si="5"/>
        <v>3.7430203204278354E-3</v>
      </c>
      <c r="AF30" s="171">
        <f t="shared" si="5"/>
        <v>8.5514821749461956E-3</v>
      </c>
      <c r="AG30" s="171">
        <f t="shared" si="5"/>
        <v>1.1810114202232791E-2</v>
      </c>
    </row>
    <row r="31" spans="1:33" ht="15" customHeight="1">
      <c r="A31">
        <v>1</v>
      </c>
      <c r="B31" t="s">
        <v>192</v>
      </c>
      <c r="C31">
        <v>2</v>
      </c>
      <c r="D31">
        <v>-3164.75</v>
      </c>
      <c r="E31">
        <v>26.216999999999999</v>
      </c>
      <c r="F31">
        <v>0</v>
      </c>
      <c r="G31">
        <v>0</v>
      </c>
      <c r="H31">
        <v>0</v>
      </c>
      <c r="I31">
        <v>91.899000000000001</v>
      </c>
      <c r="M31" s="170">
        <v>1</v>
      </c>
      <c r="N31" s="170" t="s">
        <v>208</v>
      </c>
      <c r="O31" s="170">
        <v>2</v>
      </c>
      <c r="P31" s="171">
        <v>-3345.0509999999999</v>
      </c>
      <c r="Q31" s="171">
        <v>-12.356999999999999</v>
      </c>
      <c r="R31" s="171">
        <v>12.356999999999999</v>
      </c>
      <c r="S31" s="171">
        <v>0</v>
      </c>
      <c r="T31" s="171">
        <v>-43.314999999999998</v>
      </c>
      <c r="U31" s="171">
        <v>-43.314999999999998</v>
      </c>
      <c r="V31" s="171">
        <f t="shared" si="1"/>
        <v>3345.0509999999999</v>
      </c>
      <c r="W31" s="170">
        <f t="shared" si="2"/>
        <v>17.475436990244336</v>
      </c>
      <c r="X31" s="170">
        <f t="shared" si="3"/>
        <v>61.256660454190609</v>
      </c>
      <c r="Y31" s="178">
        <f>+IF(X31="","",LoadCase!B31)</f>
        <v>1</v>
      </c>
      <c r="Z31" s="177">
        <f t="shared" si="4"/>
        <v>1</v>
      </c>
      <c r="AA31" s="177">
        <f>+IF(N31="","",'Octagonal Footing'!$C$19)</f>
        <v>150</v>
      </c>
      <c r="AB31" s="184">
        <v>267.20426298185805</v>
      </c>
      <c r="AC31" s="171">
        <v>116.95594320333917</v>
      </c>
      <c r="AD31" s="171">
        <v>84.672993309496604</v>
      </c>
      <c r="AE31" s="171">
        <f t="shared" si="5"/>
        <v>3.7424552619053663E-3</v>
      </c>
      <c r="AF31" s="171">
        <f t="shared" si="5"/>
        <v>8.5502281680667029E-3</v>
      </c>
      <c r="AG31" s="171">
        <f t="shared" si="5"/>
        <v>1.1810141119551561E-2</v>
      </c>
    </row>
    <row r="32" spans="1:33" ht="15" customHeight="1">
      <c r="A32">
        <v>1</v>
      </c>
      <c r="B32" t="s">
        <v>193</v>
      </c>
      <c r="C32">
        <v>1</v>
      </c>
      <c r="D32">
        <v>5377.9110000000001</v>
      </c>
      <c r="E32">
        <v>0</v>
      </c>
      <c r="F32">
        <v>-26.216999999999999</v>
      </c>
      <c r="G32">
        <v>0</v>
      </c>
      <c r="H32">
        <v>125.98099999999999</v>
      </c>
      <c r="I32">
        <v>0</v>
      </c>
      <c r="M32" s="170">
        <v>1</v>
      </c>
      <c r="N32" s="170" t="s">
        <v>209</v>
      </c>
      <c r="O32" s="170">
        <v>2</v>
      </c>
      <c r="P32" s="171">
        <v>-3345.0509999999999</v>
      </c>
      <c r="Q32" s="171">
        <v>12.356999999999999</v>
      </c>
      <c r="R32" s="171">
        <v>-12.356999999999999</v>
      </c>
      <c r="S32" s="171">
        <v>0</v>
      </c>
      <c r="T32" s="171">
        <v>43.314999999999998</v>
      </c>
      <c r="U32" s="171">
        <v>43.314999999999998</v>
      </c>
      <c r="V32" s="171">
        <f t="shared" si="1"/>
        <v>3345.0509999999999</v>
      </c>
      <c r="W32" s="170">
        <f t="shared" si="2"/>
        <v>17.475436990244336</v>
      </c>
      <c r="X32" s="170">
        <f t="shared" si="3"/>
        <v>61.256660454190609</v>
      </c>
      <c r="Y32" s="178">
        <f>+IF(X32="","",LoadCase!B32)</f>
        <v>1</v>
      </c>
      <c r="Z32" s="177">
        <f t="shared" si="4"/>
        <v>1</v>
      </c>
      <c r="AA32" s="177">
        <f>+IF(N32="","",'Octagonal Footing'!$C$19)</f>
        <v>150</v>
      </c>
      <c r="AB32" s="184">
        <v>267.20426298185805</v>
      </c>
      <c r="AC32" s="171">
        <v>116.95594320333917</v>
      </c>
      <c r="AD32" s="171">
        <v>84.672993309496604</v>
      </c>
      <c r="AE32" s="171">
        <f t="shared" si="5"/>
        <v>3.7424552619053663E-3</v>
      </c>
      <c r="AF32" s="171">
        <f t="shared" si="5"/>
        <v>8.5502281680667029E-3</v>
      </c>
      <c r="AG32" s="171">
        <f t="shared" si="5"/>
        <v>1.1810141119551561E-2</v>
      </c>
    </row>
    <row r="33" spans="1:33" ht="15" customHeight="1">
      <c r="A33">
        <v>1</v>
      </c>
      <c r="B33" t="s">
        <v>193</v>
      </c>
      <c r="C33">
        <v>2</v>
      </c>
      <c r="D33">
        <v>-3164.75</v>
      </c>
      <c r="E33">
        <v>0</v>
      </c>
      <c r="F33">
        <v>26.216999999999999</v>
      </c>
      <c r="G33">
        <v>0</v>
      </c>
      <c r="H33">
        <v>-91.899000000000001</v>
      </c>
      <c r="I33">
        <v>0</v>
      </c>
      <c r="M33" s="170">
        <v>1</v>
      </c>
      <c r="N33" s="170" t="s">
        <v>210</v>
      </c>
      <c r="O33" s="170">
        <v>2</v>
      </c>
      <c r="P33" s="171">
        <v>-3345.0509999999999</v>
      </c>
      <c r="Q33" s="171">
        <v>-12.356999999999999</v>
      </c>
      <c r="R33" s="171">
        <v>-12.356999999999999</v>
      </c>
      <c r="S33" s="171">
        <v>0</v>
      </c>
      <c r="T33" s="171">
        <v>43.314999999999998</v>
      </c>
      <c r="U33" s="171">
        <v>-43.314999999999998</v>
      </c>
      <c r="V33" s="171">
        <f t="shared" si="1"/>
        <v>3345.0509999999999</v>
      </c>
      <c r="W33" s="170">
        <f t="shared" si="2"/>
        <v>17.475436990244336</v>
      </c>
      <c r="X33" s="170">
        <f t="shared" si="3"/>
        <v>61.256660454190609</v>
      </c>
      <c r="Y33" s="178">
        <f>+IF(X33="","",LoadCase!B33)</f>
        <v>1</v>
      </c>
      <c r="Z33" s="177">
        <f t="shared" si="4"/>
        <v>1</v>
      </c>
      <c r="AA33" s="177">
        <f>+IF(N33="","",'Octagonal Footing'!$C$19)</f>
        <v>150</v>
      </c>
      <c r="AB33" s="184">
        <v>267.20426298185805</v>
      </c>
      <c r="AC33" s="171">
        <v>116.95594320333917</v>
      </c>
      <c r="AD33" s="171">
        <v>84.672993309496604</v>
      </c>
      <c r="AE33" s="171">
        <f t="shared" si="5"/>
        <v>3.7424552619053663E-3</v>
      </c>
      <c r="AF33" s="171">
        <f t="shared" si="5"/>
        <v>8.5502281680667029E-3</v>
      </c>
      <c r="AG33" s="171">
        <f t="shared" si="5"/>
        <v>1.1810141119551561E-2</v>
      </c>
    </row>
    <row r="34" spans="1:33" ht="15" customHeight="1">
      <c r="A34">
        <v>1</v>
      </c>
      <c r="B34" t="s">
        <v>195</v>
      </c>
      <c r="C34">
        <v>1</v>
      </c>
      <c r="D34">
        <v>5377.9110000000001</v>
      </c>
      <c r="E34">
        <v>0</v>
      </c>
      <c r="F34">
        <v>26.216999999999999</v>
      </c>
      <c r="G34">
        <v>0</v>
      </c>
      <c r="H34">
        <v>-125.98099999999999</v>
      </c>
      <c r="I34">
        <v>0</v>
      </c>
      <c r="M34" s="170">
        <v>1</v>
      </c>
      <c r="N34" s="170" t="s">
        <v>211</v>
      </c>
      <c r="O34" s="170">
        <v>2</v>
      </c>
      <c r="P34" s="171">
        <v>-3345.0509999999999</v>
      </c>
      <c r="Q34" s="171">
        <v>12.356999999999999</v>
      </c>
      <c r="R34" s="171">
        <v>12.356999999999999</v>
      </c>
      <c r="S34" s="171">
        <v>0</v>
      </c>
      <c r="T34" s="171">
        <v>-43.314999999999998</v>
      </c>
      <c r="U34" s="171">
        <v>43.314999999999998</v>
      </c>
      <c r="V34" s="171">
        <f t="shared" si="1"/>
        <v>3345.0509999999999</v>
      </c>
      <c r="W34" s="170">
        <f t="shared" si="2"/>
        <v>17.475436990244336</v>
      </c>
      <c r="X34" s="170">
        <f t="shared" si="3"/>
        <v>61.256660454190609</v>
      </c>
      <c r="Y34" s="178">
        <f>+IF(X34="","",LoadCase!B34)</f>
        <v>1</v>
      </c>
      <c r="Z34" s="177">
        <f t="shared" si="4"/>
        <v>1</v>
      </c>
      <c r="AA34" s="177">
        <f>+IF(N34="","",'Octagonal Footing'!$C$19)</f>
        <v>150</v>
      </c>
      <c r="AB34" s="184">
        <v>267.20426298185805</v>
      </c>
      <c r="AC34" s="171">
        <v>116.95594320333917</v>
      </c>
      <c r="AD34" s="171">
        <v>84.672993309496604</v>
      </c>
      <c r="AE34" s="171">
        <f t="shared" si="5"/>
        <v>3.7424552619053663E-3</v>
      </c>
      <c r="AF34" s="171">
        <f t="shared" si="5"/>
        <v>8.5502281680667029E-3</v>
      </c>
      <c r="AG34" s="171">
        <f t="shared" si="5"/>
        <v>1.1810141119551561E-2</v>
      </c>
    </row>
    <row r="35" spans="1:33" ht="15" customHeight="1">
      <c r="A35">
        <v>1</v>
      </c>
      <c r="B35" t="s">
        <v>195</v>
      </c>
      <c r="C35">
        <v>2</v>
      </c>
      <c r="D35">
        <v>-3164.75</v>
      </c>
      <c r="E35">
        <v>0</v>
      </c>
      <c r="F35">
        <v>-26.216999999999999</v>
      </c>
      <c r="G35">
        <v>0</v>
      </c>
      <c r="H35">
        <v>91.899000000000001</v>
      </c>
      <c r="I35">
        <v>0</v>
      </c>
      <c r="M35" s="170">
        <v>1</v>
      </c>
      <c r="N35" s="170" t="s">
        <v>212</v>
      </c>
      <c r="O35" s="170">
        <v>2</v>
      </c>
      <c r="P35" s="171">
        <v>-160.86600000000001</v>
      </c>
      <c r="Q35" s="171">
        <v>-34.956000000000003</v>
      </c>
      <c r="R35" s="171">
        <v>0</v>
      </c>
      <c r="S35" s="171">
        <v>0</v>
      </c>
      <c r="T35" s="171">
        <v>0</v>
      </c>
      <c r="U35" s="171">
        <v>-122.532</v>
      </c>
      <c r="V35" s="171">
        <f t="shared" si="1"/>
        <v>160.86600000000001</v>
      </c>
      <c r="W35" s="170">
        <f t="shared" si="2"/>
        <v>34.956000000000003</v>
      </c>
      <c r="X35" s="170">
        <f t="shared" si="3"/>
        <v>122.532</v>
      </c>
      <c r="Y35" s="178">
        <f>+IF(X35="","",LoadCase!B35)</f>
        <v>0.6</v>
      </c>
      <c r="Z35" s="177">
        <f t="shared" si="4"/>
        <v>1.5</v>
      </c>
      <c r="AA35" s="177">
        <f>+IF(N35="","",'Octagonal Footing'!$C$19)</f>
        <v>150</v>
      </c>
      <c r="AB35" s="184">
        <v>50.337421527517783</v>
      </c>
      <c r="AC35" s="171">
        <v>22.032904682588086</v>
      </c>
      <c r="AD35" s="171">
        <v>33.982215590221351</v>
      </c>
      <c r="AE35" s="171">
        <f t="shared" si="5"/>
        <v>2.9798904164767364E-2</v>
      </c>
      <c r="AF35" s="171">
        <f t="shared" si="5"/>
        <v>6.8079993156118124E-2</v>
      </c>
      <c r="AG35" s="171">
        <f t="shared" si="5"/>
        <v>4.4140735792154669E-2</v>
      </c>
    </row>
    <row r="36" spans="1:33" ht="15" customHeight="1">
      <c r="A36">
        <v>1</v>
      </c>
      <c r="B36" t="s">
        <v>196</v>
      </c>
      <c r="C36">
        <v>1</v>
      </c>
      <c r="D36">
        <v>5377.9110000000001</v>
      </c>
      <c r="E36">
        <v>18.535</v>
      </c>
      <c r="F36">
        <v>-18.535</v>
      </c>
      <c r="G36">
        <v>0</v>
      </c>
      <c r="H36">
        <v>89.069000000000003</v>
      </c>
      <c r="I36">
        <v>89.069000000000003</v>
      </c>
      <c r="M36" s="170">
        <v>1</v>
      </c>
      <c r="N36" s="170" t="s">
        <v>213</v>
      </c>
      <c r="O36" s="170">
        <v>2</v>
      </c>
      <c r="P36" s="171">
        <v>-160.86600000000001</v>
      </c>
      <c r="Q36" s="171">
        <v>34.956000000000003</v>
      </c>
      <c r="R36" s="171">
        <v>0</v>
      </c>
      <c r="S36" s="171">
        <v>0</v>
      </c>
      <c r="T36" s="171">
        <v>0</v>
      </c>
      <c r="U36" s="171">
        <v>122.532</v>
      </c>
      <c r="V36" s="171">
        <f t="shared" si="1"/>
        <v>160.86600000000001</v>
      </c>
      <c r="W36" s="170">
        <f t="shared" si="2"/>
        <v>34.956000000000003</v>
      </c>
      <c r="X36" s="170">
        <f t="shared" si="3"/>
        <v>122.532</v>
      </c>
      <c r="Y36" s="178">
        <f>+IF(X36="","",LoadCase!B36)</f>
        <v>0.6</v>
      </c>
      <c r="Z36" s="177">
        <f t="shared" si="4"/>
        <v>1.5</v>
      </c>
      <c r="AA36" s="177">
        <f>+IF(N36="","",'Octagonal Footing'!$C$19)</f>
        <v>150</v>
      </c>
      <c r="AB36" s="184">
        <v>50.337421527517783</v>
      </c>
      <c r="AC36" s="171">
        <v>22.032904682588086</v>
      </c>
      <c r="AD36" s="171">
        <v>33.982215590221351</v>
      </c>
      <c r="AE36" s="171">
        <f t="shared" si="5"/>
        <v>2.9798904164767364E-2</v>
      </c>
      <c r="AF36" s="171">
        <f t="shared" si="5"/>
        <v>6.8079993156118124E-2</v>
      </c>
      <c r="AG36" s="171">
        <f t="shared" si="5"/>
        <v>4.4140735792154669E-2</v>
      </c>
    </row>
    <row r="37" spans="1:33" ht="15" customHeight="1">
      <c r="A37">
        <v>1</v>
      </c>
      <c r="B37" t="s">
        <v>196</v>
      </c>
      <c r="C37">
        <v>2</v>
      </c>
      <c r="D37">
        <v>-3164.75</v>
      </c>
      <c r="E37">
        <v>-18.535</v>
      </c>
      <c r="F37">
        <v>18.535</v>
      </c>
      <c r="G37">
        <v>0</v>
      </c>
      <c r="H37">
        <v>-64.972999999999999</v>
      </c>
      <c r="I37">
        <v>-64.972999999999999</v>
      </c>
      <c r="M37" s="170">
        <v>1</v>
      </c>
      <c r="N37" s="170" t="s">
        <v>214</v>
      </c>
      <c r="O37" s="170">
        <v>2</v>
      </c>
      <c r="P37" s="171">
        <v>-160.86600000000001</v>
      </c>
      <c r="Q37" s="171">
        <v>0</v>
      </c>
      <c r="R37" s="171">
        <v>34.956000000000003</v>
      </c>
      <c r="S37" s="171">
        <v>0</v>
      </c>
      <c r="T37" s="171">
        <v>-122.532</v>
      </c>
      <c r="U37" s="171">
        <v>0</v>
      </c>
      <c r="V37" s="171">
        <f t="shared" si="1"/>
        <v>160.86600000000001</v>
      </c>
      <c r="W37" s="170">
        <f t="shared" si="2"/>
        <v>34.956000000000003</v>
      </c>
      <c r="X37" s="170">
        <f t="shared" si="3"/>
        <v>122.532</v>
      </c>
      <c r="Y37" s="178">
        <f>+IF(X37="","",LoadCase!B37)</f>
        <v>0.6</v>
      </c>
      <c r="Z37" s="177">
        <f t="shared" si="4"/>
        <v>1.5</v>
      </c>
      <c r="AA37" s="177">
        <f>+IF(N37="","",'Octagonal Footing'!$C$19)</f>
        <v>150</v>
      </c>
      <c r="AB37" s="184">
        <v>50.337421527517783</v>
      </c>
      <c r="AC37" s="171">
        <v>22.032904682588086</v>
      </c>
      <c r="AD37" s="171">
        <v>33.982215590221351</v>
      </c>
      <c r="AE37" s="171">
        <f t="shared" si="5"/>
        <v>2.9798904164767364E-2</v>
      </c>
      <c r="AF37" s="171">
        <f t="shared" si="5"/>
        <v>6.8079993156118124E-2</v>
      </c>
      <c r="AG37" s="171">
        <f t="shared" si="5"/>
        <v>4.4140735792154669E-2</v>
      </c>
    </row>
    <row r="38" spans="1:33" ht="15" customHeight="1">
      <c r="A38">
        <v>1</v>
      </c>
      <c r="B38" t="s">
        <v>197</v>
      </c>
      <c r="C38">
        <v>1</v>
      </c>
      <c r="D38">
        <v>5377.9110000000001</v>
      </c>
      <c r="E38">
        <v>-18.535</v>
      </c>
      <c r="F38">
        <v>18.535</v>
      </c>
      <c r="G38">
        <v>0</v>
      </c>
      <c r="H38">
        <v>-89.069000000000003</v>
      </c>
      <c r="I38">
        <v>-89.069000000000003</v>
      </c>
      <c r="M38" s="170">
        <v>1</v>
      </c>
      <c r="N38" s="170" t="s">
        <v>215</v>
      </c>
      <c r="O38" s="170">
        <v>2</v>
      </c>
      <c r="P38" s="171">
        <v>-160.86600000000001</v>
      </c>
      <c r="Q38" s="171">
        <v>0</v>
      </c>
      <c r="R38" s="171">
        <v>-34.956000000000003</v>
      </c>
      <c r="S38" s="171">
        <v>0</v>
      </c>
      <c r="T38" s="171">
        <v>122.532</v>
      </c>
      <c r="U38" s="171">
        <v>0</v>
      </c>
      <c r="V38" s="171">
        <f t="shared" si="1"/>
        <v>160.86600000000001</v>
      </c>
      <c r="W38" s="170">
        <f t="shared" si="2"/>
        <v>34.956000000000003</v>
      </c>
      <c r="X38" s="170">
        <f t="shared" si="3"/>
        <v>122.532</v>
      </c>
      <c r="Y38" s="178">
        <f>+IF(X38="","",LoadCase!B38)</f>
        <v>0.6</v>
      </c>
      <c r="Z38" s="177">
        <f t="shared" si="4"/>
        <v>1.5</v>
      </c>
      <c r="AA38" s="177">
        <f>+IF(N38="","",'Octagonal Footing'!$C$19)</f>
        <v>150</v>
      </c>
      <c r="AB38" s="184">
        <v>50.337421527517783</v>
      </c>
      <c r="AC38" s="171">
        <v>22.032904682588086</v>
      </c>
      <c r="AD38" s="171">
        <v>33.982215590221351</v>
      </c>
      <c r="AE38" s="171">
        <f t="shared" si="5"/>
        <v>2.9798904164767364E-2</v>
      </c>
      <c r="AF38" s="171">
        <f t="shared" si="5"/>
        <v>6.8079993156118124E-2</v>
      </c>
      <c r="AG38" s="171">
        <f t="shared" si="5"/>
        <v>4.4140735792154669E-2</v>
      </c>
    </row>
    <row r="39" spans="1:33" ht="15" customHeight="1">
      <c r="A39">
        <v>1</v>
      </c>
      <c r="B39" t="s">
        <v>197</v>
      </c>
      <c r="C39">
        <v>2</v>
      </c>
      <c r="D39">
        <v>-3164.75</v>
      </c>
      <c r="E39">
        <v>18.535</v>
      </c>
      <c r="F39">
        <v>-18.535</v>
      </c>
      <c r="G39">
        <v>0</v>
      </c>
      <c r="H39">
        <v>64.972999999999999</v>
      </c>
      <c r="I39">
        <v>64.972999999999999</v>
      </c>
      <c r="M39" s="170">
        <v>1</v>
      </c>
      <c r="N39" s="170" t="s">
        <v>216</v>
      </c>
      <c r="O39" s="170">
        <v>2</v>
      </c>
      <c r="P39" s="171">
        <v>-160.86600000000001</v>
      </c>
      <c r="Q39" s="171">
        <v>-24.713999999999999</v>
      </c>
      <c r="R39" s="171">
        <v>24.713999999999999</v>
      </c>
      <c r="S39" s="171">
        <v>0</v>
      </c>
      <c r="T39" s="171">
        <v>-86.63</v>
      </c>
      <c r="U39" s="171">
        <v>-86.63</v>
      </c>
      <c r="V39" s="171">
        <f t="shared" si="1"/>
        <v>160.86600000000001</v>
      </c>
      <c r="W39" s="170">
        <f t="shared" si="2"/>
        <v>34.950873980488673</v>
      </c>
      <c r="X39" s="170">
        <f t="shared" si="3"/>
        <v>122.51332090838122</v>
      </c>
      <c r="Y39" s="178">
        <f>+IF(X39="","",LoadCase!B39)</f>
        <v>0.6</v>
      </c>
      <c r="Z39" s="177">
        <f t="shared" si="4"/>
        <v>1.5</v>
      </c>
      <c r="AA39" s="177">
        <f>+IF(N39="","",'Octagonal Footing'!$C$19)</f>
        <v>150</v>
      </c>
      <c r="AB39" s="184">
        <v>50.345021775761957</v>
      </c>
      <c r="AC39" s="171">
        <v>22.036136106768129</v>
      </c>
      <c r="AD39" s="171">
        <v>33.981829621057472</v>
      </c>
      <c r="AE39" s="171">
        <f t="shared" si="5"/>
        <v>2.9794405625267962E-2</v>
      </c>
      <c r="AF39" s="171">
        <f t="shared" si="5"/>
        <v>6.8070009766335274E-2</v>
      </c>
      <c r="AG39" s="171">
        <f t="shared" si="5"/>
        <v>4.4141237147234037E-2</v>
      </c>
    </row>
    <row r="40" spans="1:33" ht="15" customHeight="1">
      <c r="A40">
        <v>1</v>
      </c>
      <c r="B40" t="s">
        <v>198</v>
      </c>
      <c r="C40">
        <v>1</v>
      </c>
      <c r="D40">
        <v>5377.9110000000001</v>
      </c>
      <c r="E40">
        <v>18.535</v>
      </c>
      <c r="F40">
        <v>18.535</v>
      </c>
      <c r="G40">
        <v>0</v>
      </c>
      <c r="H40">
        <v>-89.069000000000003</v>
      </c>
      <c r="I40">
        <v>89.069000000000003</v>
      </c>
      <c r="M40" s="170">
        <v>1</v>
      </c>
      <c r="N40" s="170" t="s">
        <v>217</v>
      </c>
      <c r="O40" s="170">
        <v>2</v>
      </c>
      <c r="P40" s="171">
        <v>-160.86600000000001</v>
      </c>
      <c r="Q40" s="171">
        <v>24.713999999999999</v>
      </c>
      <c r="R40" s="171">
        <v>-24.713999999999999</v>
      </c>
      <c r="S40" s="171">
        <v>0</v>
      </c>
      <c r="T40" s="171">
        <v>86.63</v>
      </c>
      <c r="U40" s="171">
        <v>86.63</v>
      </c>
      <c r="V40" s="171">
        <f t="shared" si="1"/>
        <v>160.86600000000001</v>
      </c>
      <c r="W40" s="170">
        <f t="shared" si="2"/>
        <v>34.950873980488673</v>
      </c>
      <c r="X40" s="170">
        <f t="shared" si="3"/>
        <v>122.51332090838122</v>
      </c>
      <c r="Y40" s="178">
        <f>+IF(X40="","",LoadCase!B40)</f>
        <v>0.6</v>
      </c>
      <c r="Z40" s="177">
        <f t="shared" si="4"/>
        <v>1.5</v>
      </c>
      <c r="AA40" s="177">
        <f>+IF(N40="","",'Octagonal Footing'!$C$19)</f>
        <v>150</v>
      </c>
      <c r="AB40" s="184">
        <v>50.345021775761957</v>
      </c>
      <c r="AC40" s="171">
        <v>22.036136106768129</v>
      </c>
      <c r="AD40" s="171">
        <v>33.981829621057472</v>
      </c>
      <c r="AE40" s="171">
        <f t="shared" si="5"/>
        <v>2.9794405625267962E-2</v>
      </c>
      <c r="AF40" s="171">
        <f t="shared" si="5"/>
        <v>6.8070009766335274E-2</v>
      </c>
      <c r="AG40" s="171">
        <f t="shared" si="5"/>
        <v>4.4141237147234037E-2</v>
      </c>
    </row>
    <row r="41" spans="1:33" ht="15" customHeight="1">
      <c r="A41">
        <v>1</v>
      </c>
      <c r="B41" t="s">
        <v>198</v>
      </c>
      <c r="C41">
        <v>2</v>
      </c>
      <c r="D41">
        <v>-3164.75</v>
      </c>
      <c r="E41">
        <v>-18.535</v>
      </c>
      <c r="F41">
        <v>-18.535</v>
      </c>
      <c r="G41">
        <v>0</v>
      </c>
      <c r="H41">
        <v>64.972999999999999</v>
      </c>
      <c r="I41">
        <v>-64.972999999999999</v>
      </c>
      <c r="M41" s="170">
        <v>1</v>
      </c>
      <c r="N41" s="170" t="s">
        <v>218</v>
      </c>
      <c r="O41" s="170">
        <v>2</v>
      </c>
      <c r="P41" s="171">
        <v>-160.86600000000001</v>
      </c>
      <c r="Q41" s="171">
        <v>-24.713999999999999</v>
      </c>
      <c r="R41" s="171">
        <v>-24.713999999999999</v>
      </c>
      <c r="S41" s="171">
        <v>0</v>
      </c>
      <c r="T41" s="171">
        <v>86.63</v>
      </c>
      <c r="U41" s="171">
        <v>-86.63</v>
      </c>
      <c r="V41" s="171">
        <f t="shared" si="1"/>
        <v>160.86600000000001</v>
      </c>
      <c r="W41" s="170">
        <f t="shared" si="2"/>
        <v>34.950873980488673</v>
      </c>
      <c r="X41" s="170">
        <f t="shared" si="3"/>
        <v>122.51332090838122</v>
      </c>
      <c r="Y41" s="178">
        <f>+IF(X41="","",LoadCase!B41)</f>
        <v>0.6</v>
      </c>
      <c r="Z41" s="177">
        <f t="shared" si="4"/>
        <v>1.5</v>
      </c>
      <c r="AA41" s="177">
        <f>+IF(N41="","",'Octagonal Footing'!$C$19)</f>
        <v>150</v>
      </c>
      <c r="AB41" s="184">
        <v>50.345021775761957</v>
      </c>
      <c r="AC41" s="171">
        <v>22.036136106768129</v>
      </c>
      <c r="AD41" s="171">
        <v>33.981829621057472</v>
      </c>
      <c r="AE41" s="171">
        <f t="shared" si="5"/>
        <v>2.9794405625267962E-2</v>
      </c>
      <c r="AF41" s="171">
        <f t="shared" si="5"/>
        <v>6.8070009766335274E-2</v>
      </c>
      <c r="AG41" s="171">
        <f t="shared" si="5"/>
        <v>4.4141237147234037E-2</v>
      </c>
    </row>
    <row r="42" spans="1:33" ht="15" customHeight="1">
      <c r="A42">
        <v>1</v>
      </c>
      <c r="B42" t="s">
        <v>199</v>
      </c>
      <c r="C42">
        <v>1</v>
      </c>
      <c r="D42">
        <v>5377.9110000000001</v>
      </c>
      <c r="E42">
        <v>-18.535</v>
      </c>
      <c r="F42">
        <v>-18.535</v>
      </c>
      <c r="G42">
        <v>0</v>
      </c>
      <c r="H42">
        <v>89.069000000000003</v>
      </c>
      <c r="I42">
        <v>-89.069000000000003</v>
      </c>
      <c r="M42" s="170">
        <v>1</v>
      </c>
      <c r="N42" s="170" t="s">
        <v>219</v>
      </c>
      <c r="O42" s="170">
        <v>2</v>
      </c>
      <c r="P42" s="171">
        <v>-160.86600000000001</v>
      </c>
      <c r="Q42" s="171">
        <v>24.713999999999999</v>
      </c>
      <c r="R42" s="171">
        <v>24.713999999999999</v>
      </c>
      <c r="S42" s="171">
        <v>0</v>
      </c>
      <c r="T42" s="171">
        <v>-86.63</v>
      </c>
      <c r="U42" s="171">
        <v>86.63</v>
      </c>
      <c r="V42" s="171">
        <f t="shared" si="1"/>
        <v>160.86600000000001</v>
      </c>
      <c r="W42" s="170">
        <f t="shared" si="2"/>
        <v>34.950873980488673</v>
      </c>
      <c r="X42" s="170">
        <f t="shared" si="3"/>
        <v>122.51332090838122</v>
      </c>
      <c r="Y42" s="178">
        <f>+IF(X42="","",LoadCase!B42)</f>
        <v>0.6</v>
      </c>
      <c r="Z42" s="177">
        <f t="shared" si="4"/>
        <v>1.5</v>
      </c>
      <c r="AA42" s="177">
        <f>+IF(N42="","",'Octagonal Footing'!$C$19)</f>
        <v>150</v>
      </c>
      <c r="AB42" s="184">
        <v>50.345021775761957</v>
      </c>
      <c r="AC42" s="171">
        <v>22.036136106768129</v>
      </c>
      <c r="AD42" s="171">
        <v>33.981829621057472</v>
      </c>
      <c r="AE42" s="171">
        <f t="shared" si="5"/>
        <v>2.9794405625267962E-2</v>
      </c>
      <c r="AF42" s="171">
        <f t="shared" si="5"/>
        <v>6.8070009766335274E-2</v>
      </c>
      <c r="AG42" s="171">
        <f t="shared" si="5"/>
        <v>4.4141237147234037E-2</v>
      </c>
    </row>
    <row r="43" spans="1:33" ht="15" customHeight="1">
      <c r="A43">
        <v>1</v>
      </c>
      <c r="B43" t="s">
        <v>199</v>
      </c>
      <c r="C43">
        <v>2</v>
      </c>
      <c r="D43">
        <v>-3164.75</v>
      </c>
      <c r="E43">
        <v>18.535</v>
      </c>
      <c r="F43">
        <v>18.535</v>
      </c>
      <c r="G43">
        <v>0</v>
      </c>
      <c r="H43">
        <v>-64.972999999999999</v>
      </c>
      <c r="I43">
        <v>64.972999999999999</v>
      </c>
      <c r="M43" s="170">
        <v>1</v>
      </c>
      <c r="N43" s="170" t="s">
        <v>220</v>
      </c>
      <c r="O43" s="170">
        <v>2</v>
      </c>
      <c r="P43" s="171">
        <v>-160.86600000000001</v>
      </c>
      <c r="Q43" s="171">
        <v>-12.04</v>
      </c>
      <c r="R43" s="171">
        <v>0</v>
      </c>
      <c r="S43" s="171">
        <v>0</v>
      </c>
      <c r="T43" s="171">
        <v>0</v>
      </c>
      <c r="U43" s="171">
        <v>-44.673999999999999</v>
      </c>
      <c r="V43" s="171">
        <f t="shared" si="1"/>
        <v>160.86600000000001</v>
      </c>
      <c r="W43" s="170">
        <f t="shared" si="2"/>
        <v>12.04</v>
      </c>
      <c r="X43" s="170">
        <f t="shared" si="3"/>
        <v>44.673999999999999</v>
      </c>
      <c r="Y43" s="178">
        <f>+IF(X43="","",LoadCase!B43)</f>
        <v>0.6</v>
      </c>
      <c r="Z43" s="177">
        <f t="shared" si="4"/>
        <v>1.5</v>
      </c>
      <c r="AA43" s="177">
        <f>+IF(N43="","",'Octagonal Footing'!$C$19)</f>
        <v>150</v>
      </c>
      <c r="AB43" s="184">
        <v>140.04023583283552</v>
      </c>
      <c r="AC43" s="171">
        <v>63.968622598384485</v>
      </c>
      <c r="AD43" s="171">
        <v>32.344514645234909</v>
      </c>
      <c r="AE43" s="171">
        <f t="shared" si="5"/>
        <v>1.071120732608972E-2</v>
      </c>
      <c r="AF43" s="171">
        <f t="shared" si="5"/>
        <v>2.3448996384015968E-2</v>
      </c>
      <c r="AG43" s="171">
        <f t="shared" si="5"/>
        <v>4.637571521639712E-2</v>
      </c>
    </row>
    <row r="44" spans="1:33" ht="15" customHeight="1">
      <c r="A44">
        <v>1</v>
      </c>
      <c r="B44" t="s">
        <v>200</v>
      </c>
      <c r="C44">
        <v>1</v>
      </c>
      <c r="D44">
        <v>5377.9110000000001</v>
      </c>
      <c r="E44">
        <v>327.07499999999999</v>
      </c>
      <c r="F44">
        <v>0</v>
      </c>
      <c r="G44">
        <v>0</v>
      </c>
      <c r="H44">
        <v>0</v>
      </c>
      <c r="I44">
        <v>1638.9970000000001</v>
      </c>
      <c r="M44" s="170">
        <v>1</v>
      </c>
      <c r="N44" s="170" t="s">
        <v>221</v>
      </c>
      <c r="O44" s="170">
        <v>2</v>
      </c>
      <c r="P44" s="171">
        <v>-160.86600000000001</v>
      </c>
      <c r="Q44" s="171">
        <v>12.04</v>
      </c>
      <c r="R44" s="171">
        <v>0</v>
      </c>
      <c r="S44" s="171">
        <v>0</v>
      </c>
      <c r="T44" s="171">
        <v>0</v>
      </c>
      <c r="U44" s="171">
        <v>44.673999999999999</v>
      </c>
      <c r="V44" s="171">
        <f t="shared" si="1"/>
        <v>160.86600000000001</v>
      </c>
      <c r="W44" s="170">
        <f t="shared" si="2"/>
        <v>12.04</v>
      </c>
      <c r="X44" s="170">
        <f t="shared" si="3"/>
        <v>44.673999999999999</v>
      </c>
      <c r="Y44" s="178">
        <f>+IF(X44="","",LoadCase!B44)</f>
        <v>0.6</v>
      </c>
      <c r="Z44" s="177">
        <f t="shared" si="4"/>
        <v>1.5</v>
      </c>
      <c r="AA44" s="177">
        <f>+IF(N44="","",'Octagonal Footing'!$C$19)</f>
        <v>150</v>
      </c>
      <c r="AB44" s="184">
        <v>140.04023583283552</v>
      </c>
      <c r="AC44" s="171">
        <v>63.968622598384485</v>
      </c>
      <c r="AD44" s="171">
        <v>32.344514645234909</v>
      </c>
      <c r="AE44" s="171">
        <f t="shared" si="5"/>
        <v>1.071120732608972E-2</v>
      </c>
      <c r="AF44" s="171">
        <f t="shared" si="5"/>
        <v>2.3448996384015968E-2</v>
      </c>
      <c r="AG44" s="171">
        <f t="shared" si="5"/>
        <v>4.637571521639712E-2</v>
      </c>
    </row>
    <row r="45" spans="1:33" ht="15" customHeight="1">
      <c r="A45">
        <v>1</v>
      </c>
      <c r="B45" t="s">
        <v>200</v>
      </c>
      <c r="C45">
        <v>2</v>
      </c>
      <c r="D45">
        <v>-3164.75</v>
      </c>
      <c r="E45">
        <v>-327.07499999999999</v>
      </c>
      <c r="F45">
        <v>0</v>
      </c>
      <c r="G45">
        <v>0</v>
      </c>
      <c r="H45">
        <v>0</v>
      </c>
      <c r="I45">
        <v>-1213.8</v>
      </c>
      <c r="M45" s="170">
        <v>1</v>
      </c>
      <c r="N45" s="170" t="s">
        <v>222</v>
      </c>
      <c r="O45" s="170">
        <v>2</v>
      </c>
      <c r="P45" s="171">
        <v>-160.86600000000001</v>
      </c>
      <c r="Q45" s="171">
        <v>0</v>
      </c>
      <c r="R45" s="171">
        <v>12.04</v>
      </c>
      <c r="S45" s="171">
        <v>0</v>
      </c>
      <c r="T45" s="171">
        <v>-44.673999999999999</v>
      </c>
      <c r="U45" s="171">
        <v>0</v>
      </c>
      <c r="V45" s="171">
        <f t="shared" si="1"/>
        <v>160.86600000000001</v>
      </c>
      <c r="W45" s="170">
        <f t="shared" si="2"/>
        <v>12.04</v>
      </c>
      <c r="X45" s="170">
        <f t="shared" si="3"/>
        <v>44.673999999999999</v>
      </c>
      <c r="Y45" s="178">
        <f>+IF(X45="","",LoadCase!B45)</f>
        <v>0.6</v>
      </c>
      <c r="Z45" s="177">
        <f t="shared" si="4"/>
        <v>1.5</v>
      </c>
      <c r="AA45" s="177">
        <f>+IF(N45="","",'Octagonal Footing'!$C$19)</f>
        <v>150</v>
      </c>
      <c r="AB45" s="184">
        <v>140.04023583283552</v>
      </c>
      <c r="AC45" s="171">
        <v>63.968622598384485</v>
      </c>
      <c r="AD45" s="171">
        <v>32.344514645234909</v>
      </c>
      <c r="AE45" s="171">
        <f t="shared" si="5"/>
        <v>1.071120732608972E-2</v>
      </c>
      <c r="AF45" s="171">
        <f t="shared" si="5"/>
        <v>2.3448996384015968E-2</v>
      </c>
      <c r="AG45" s="171">
        <f t="shared" si="5"/>
        <v>4.637571521639712E-2</v>
      </c>
    </row>
    <row r="46" spans="1:33" ht="15" customHeight="1">
      <c r="A46">
        <v>1</v>
      </c>
      <c r="B46" t="s">
        <v>201</v>
      </c>
      <c r="C46">
        <v>1</v>
      </c>
      <c r="D46">
        <v>5377.9110000000001</v>
      </c>
      <c r="E46">
        <v>-327.07499999999999</v>
      </c>
      <c r="F46">
        <v>0</v>
      </c>
      <c r="G46">
        <v>0</v>
      </c>
      <c r="H46">
        <v>0</v>
      </c>
      <c r="I46">
        <v>-1638.9970000000001</v>
      </c>
      <c r="M46" s="170">
        <v>1</v>
      </c>
      <c r="N46" s="170" t="s">
        <v>223</v>
      </c>
      <c r="O46" s="170">
        <v>2</v>
      </c>
      <c r="P46" s="171">
        <v>-160.86600000000001</v>
      </c>
      <c r="Q46" s="171">
        <v>0</v>
      </c>
      <c r="R46" s="171">
        <v>-12.04</v>
      </c>
      <c r="S46" s="171">
        <v>0</v>
      </c>
      <c r="T46" s="171">
        <v>44.673999999999999</v>
      </c>
      <c r="U46" s="171">
        <v>0</v>
      </c>
      <c r="V46" s="171">
        <f t="shared" si="1"/>
        <v>160.86600000000001</v>
      </c>
      <c r="W46" s="170">
        <f t="shared" si="2"/>
        <v>12.04</v>
      </c>
      <c r="X46" s="170">
        <f t="shared" si="3"/>
        <v>44.673999999999999</v>
      </c>
      <c r="Y46" s="178">
        <f>+IF(X46="","",LoadCase!B46)</f>
        <v>0.6</v>
      </c>
      <c r="Z46" s="177">
        <f t="shared" si="4"/>
        <v>1.5</v>
      </c>
      <c r="AA46" s="177">
        <f>+IF(N46="","",'Octagonal Footing'!$C$19)</f>
        <v>150</v>
      </c>
      <c r="AB46" s="184">
        <v>140.04023583283552</v>
      </c>
      <c r="AC46" s="171">
        <v>63.968622598384485</v>
      </c>
      <c r="AD46" s="171">
        <v>32.344514645234909</v>
      </c>
      <c r="AE46" s="171">
        <f t="shared" si="5"/>
        <v>1.071120732608972E-2</v>
      </c>
      <c r="AF46" s="171">
        <f t="shared" si="5"/>
        <v>2.3448996384015968E-2</v>
      </c>
      <c r="AG46" s="171">
        <f t="shared" si="5"/>
        <v>4.637571521639712E-2</v>
      </c>
    </row>
    <row r="47" spans="1:33" ht="15" customHeight="1">
      <c r="A47">
        <v>1</v>
      </c>
      <c r="B47" t="s">
        <v>201</v>
      </c>
      <c r="C47">
        <v>2</v>
      </c>
      <c r="D47">
        <v>-3164.75</v>
      </c>
      <c r="E47">
        <v>327.07499999999999</v>
      </c>
      <c r="F47">
        <v>0</v>
      </c>
      <c r="G47">
        <v>0</v>
      </c>
      <c r="H47">
        <v>0</v>
      </c>
      <c r="I47">
        <v>1213.8</v>
      </c>
      <c r="P47" s="171"/>
      <c r="Q47" s="171"/>
      <c r="R47" s="171"/>
      <c r="S47" s="171"/>
      <c r="T47" s="171"/>
      <c r="U47" s="171"/>
    </row>
    <row r="48" spans="1:33" ht="15" customHeight="1">
      <c r="A48">
        <v>1</v>
      </c>
      <c r="B48" t="s">
        <v>202</v>
      </c>
      <c r="C48">
        <v>1</v>
      </c>
      <c r="D48">
        <v>5377.9110000000001</v>
      </c>
      <c r="E48">
        <v>0</v>
      </c>
      <c r="F48">
        <v>-327.07499999999999</v>
      </c>
      <c r="G48">
        <v>0</v>
      </c>
      <c r="H48">
        <v>1638.9970000000001</v>
      </c>
      <c r="I48">
        <v>0</v>
      </c>
      <c r="P48" s="171"/>
      <c r="Q48" s="171"/>
      <c r="R48" s="171"/>
      <c r="S48" s="171"/>
      <c r="T48" s="171"/>
      <c r="U48" s="171"/>
    </row>
    <row r="49" spans="1:21" ht="15" customHeight="1">
      <c r="A49">
        <v>1</v>
      </c>
      <c r="B49" t="s">
        <v>202</v>
      </c>
      <c r="C49">
        <v>2</v>
      </c>
      <c r="D49">
        <v>-3164.75</v>
      </c>
      <c r="E49">
        <v>0</v>
      </c>
      <c r="F49">
        <v>327.07499999999999</v>
      </c>
      <c r="G49">
        <v>0</v>
      </c>
      <c r="H49">
        <v>-1213.8</v>
      </c>
      <c r="I49">
        <v>0</v>
      </c>
      <c r="P49" s="171"/>
      <c r="Q49" s="171"/>
      <c r="R49" s="171"/>
      <c r="S49" s="171"/>
      <c r="T49" s="171"/>
      <c r="U49" s="171"/>
    </row>
    <row r="50" spans="1:21" ht="15" customHeight="1">
      <c r="A50">
        <v>1</v>
      </c>
      <c r="B50" t="s">
        <v>203</v>
      </c>
      <c r="C50">
        <v>1</v>
      </c>
      <c r="D50">
        <v>5377.9110000000001</v>
      </c>
      <c r="E50">
        <v>0</v>
      </c>
      <c r="F50">
        <v>327.07499999999999</v>
      </c>
      <c r="G50">
        <v>0</v>
      </c>
      <c r="H50">
        <v>-1638.9970000000001</v>
      </c>
      <c r="I50">
        <v>0</v>
      </c>
      <c r="P50" s="171"/>
      <c r="Q50" s="171"/>
      <c r="R50" s="171"/>
      <c r="S50" s="171"/>
      <c r="T50" s="171"/>
      <c r="U50" s="171"/>
    </row>
    <row r="51" spans="1:21" ht="15" customHeight="1">
      <c r="A51">
        <v>1</v>
      </c>
      <c r="B51" t="s">
        <v>203</v>
      </c>
      <c r="C51">
        <v>2</v>
      </c>
      <c r="D51">
        <v>-3164.75</v>
      </c>
      <c r="E51">
        <v>0</v>
      </c>
      <c r="F51">
        <v>-327.07499999999999</v>
      </c>
      <c r="G51">
        <v>0</v>
      </c>
      <c r="H51">
        <v>1213.8</v>
      </c>
      <c r="I51">
        <v>0</v>
      </c>
      <c r="P51" s="171"/>
      <c r="Q51" s="171"/>
      <c r="R51" s="171"/>
      <c r="S51" s="171"/>
      <c r="T51" s="171"/>
      <c r="U51" s="171"/>
    </row>
    <row r="52" spans="1:21" ht="15" customHeight="1">
      <c r="A52">
        <v>1</v>
      </c>
      <c r="B52" t="s">
        <v>204</v>
      </c>
      <c r="C52">
        <v>1</v>
      </c>
      <c r="D52">
        <v>5558.2110000000002</v>
      </c>
      <c r="E52">
        <v>17.478000000000002</v>
      </c>
      <c r="F52">
        <v>0</v>
      </c>
      <c r="G52">
        <v>0</v>
      </c>
      <c r="H52">
        <v>0</v>
      </c>
      <c r="I52">
        <v>83.986999999999995</v>
      </c>
      <c r="P52" s="171"/>
      <c r="Q52" s="171"/>
      <c r="R52" s="171"/>
      <c r="S52" s="171"/>
      <c r="T52" s="171"/>
      <c r="U52" s="171"/>
    </row>
    <row r="53" spans="1:21" ht="15" customHeight="1">
      <c r="A53">
        <v>1</v>
      </c>
      <c r="B53" t="s">
        <v>204</v>
      </c>
      <c r="C53">
        <v>2</v>
      </c>
      <c r="D53">
        <v>-3345.0509999999999</v>
      </c>
      <c r="E53">
        <v>-17.478000000000002</v>
      </c>
      <c r="F53">
        <v>0</v>
      </c>
      <c r="G53">
        <v>0</v>
      </c>
      <c r="H53">
        <v>0</v>
      </c>
      <c r="I53">
        <v>-61.265999999999998</v>
      </c>
      <c r="P53" s="171"/>
      <c r="Q53" s="171"/>
      <c r="R53" s="171"/>
      <c r="S53" s="171"/>
      <c r="T53" s="171"/>
      <c r="U53" s="171"/>
    </row>
    <row r="54" spans="1:21" ht="15" customHeight="1">
      <c r="A54">
        <v>1</v>
      </c>
      <c r="B54" t="s">
        <v>205</v>
      </c>
      <c r="C54">
        <v>1</v>
      </c>
      <c r="D54">
        <v>5558.2110000000002</v>
      </c>
      <c r="E54">
        <v>-17.478000000000002</v>
      </c>
      <c r="F54">
        <v>0</v>
      </c>
      <c r="G54">
        <v>0</v>
      </c>
      <c r="H54">
        <v>0</v>
      </c>
      <c r="I54">
        <v>-83.986999999999995</v>
      </c>
      <c r="P54" s="171"/>
      <c r="Q54" s="171"/>
      <c r="R54" s="171"/>
      <c r="S54" s="171"/>
      <c r="T54" s="171"/>
      <c r="U54" s="171"/>
    </row>
    <row r="55" spans="1:21" ht="15" customHeight="1">
      <c r="A55">
        <v>1</v>
      </c>
      <c r="B55" t="s">
        <v>205</v>
      </c>
      <c r="C55">
        <v>2</v>
      </c>
      <c r="D55">
        <v>-3345.0509999999999</v>
      </c>
      <c r="E55">
        <v>17.478000000000002</v>
      </c>
      <c r="F55">
        <v>0</v>
      </c>
      <c r="G55">
        <v>0</v>
      </c>
      <c r="H55">
        <v>0</v>
      </c>
      <c r="I55">
        <v>61.265999999999998</v>
      </c>
      <c r="P55" s="171"/>
      <c r="Q55" s="171"/>
      <c r="R55" s="171"/>
      <c r="S55" s="171"/>
      <c r="T55" s="171"/>
      <c r="U55" s="171"/>
    </row>
    <row r="56" spans="1:21" ht="15" customHeight="1">
      <c r="A56">
        <v>1</v>
      </c>
      <c r="B56" t="s">
        <v>206</v>
      </c>
      <c r="C56">
        <v>1</v>
      </c>
      <c r="D56">
        <v>5558.2110000000002</v>
      </c>
      <c r="E56">
        <v>0</v>
      </c>
      <c r="F56">
        <v>-17.478000000000002</v>
      </c>
      <c r="G56">
        <v>0</v>
      </c>
      <c r="H56">
        <v>83.986999999999995</v>
      </c>
      <c r="I56">
        <v>0</v>
      </c>
      <c r="P56" s="171"/>
      <c r="Q56" s="171"/>
      <c r="R56" s="171"/>
      <c r="S56" s="171"/>
      <c r="T56" s="171"/>
      <c r="U56" s="171"/>
    </row>
    <row r="57" spans="1:21" ht="15" customHeight="1">
      <c r="A57">
        <v>1</v>
      </c>
      <c r="B57" t="s">
        <v>206</v>
      </c>
      <c r="C57">
        <v>2</v>
      </c>
      <c r="D57">
        <v>-3345.0509999999999</v>
      </c>
      <c r="E57">
        <v>0</v>
      </c>
      <c r="F57">
        <v>17.478000000000002</v>
      </c>
      <c r="G57">
        <v>0</v>
      </c>
      <c r="H57">
        <v>-61.265999999999998</v>
      </c>
      <c r="I57">
        <v>0</v>
      </c>
      <c r="P57" s="171"/>
      <c r="Q57" s="171"/>
      <c r="R57" s="171"/>
      <c r="S57" s="171"/>
      <c r="T57" s="171"/>
      <c r="U57" s="171"/>
    </row>
    <row r="58" spans="1:21" ht="15" customHeight="1">
      <c r="A58">
        <v>1</v>
      </c>
      <c r="B58" t="s">
        <v>207</v>
      </c>
      <c r="C58">
        <v>1</v>
      </c>
      <c r="D58">
        <v>5558.2110000000002</v>
      </c>
      <c r="E58">
        <v>0</v>
      </c>
      <c r="F58">
        <v>17.478000000000002</v>
      </c>
      <c r="G58">
        <v>0</v>
      </c>
      <c r="H58">
        <v>-83.986999999999995</v>
      </c>
      <c r="I58">
        <v>0</v>
      </c>
      <c r="P58" s="171"/>
      <c r="Q58" s="171"/>
      <c r="R58" s="171"/>
      <c r="S58" s="171"/>
      <c r="T58" s="171"/>
      <c r="U58" s="171"/>
    </row>
    <row r="59" spans="1:21" ht="15" customHeight="1">
      <c r="A59">
        <v>1</v>
      </c>
      <c r="B59" t="s">
        <v>207</v>
      </c>
      <c r="C59">
        <v>2</v>
      </c>
      <c r="D59">
        <v>-3345.0509999999999</v>
      </c>
      <c r="E59">
        <v>0</v>
      </c>
      <c r="F59">
        <v>-17.478000000000002</v>
      </c>
      <c r="G59">
        <v>0</v>
      </c>
      <c r="H59">
        <v>61.265999999999998</v>
      </c>
      <c r="I59">
        <v>0</v>
      </c>
      <c r="P59" s="171"/>
      <c r="Q59" s="171"/>
      <c r="R59" s="171"/>
      <c r="S59" s="171"/>
      <c r="T59" s="171"/>
      <c r="U59" s="171"/>
    </row>
    <row r="60" spans="1:21" ht="15" customHeight="1">
      <c r="A60">
        <v>1</v>
      </c>
      <c r="B60" t="s">
        <v>208</v>
      </c>
      <c r="C60">
        <v>1</v>
      </c>
      <c r="D60">
        <v>5558.2110000000002</v>
      </c>
      <c r="E60">
        <v>12.356999999999999</v>
      </c>
      <c r="F60">
        <v>-12.356999999999999</v>
      </c>
      <c r="G60">
        <v>0</v>
      </c>
      <c r="H60">
        <v>59.378999999999998</v>
      </c>
      <c r="I60">
        <v>59.378999999999998</v>
      </c>
      <c r="P60" s="171"/>
      <c r="Q60" s="171"/>
      <c r="R60" s="171"/>
      <c r="S60" s="171"/>
      <c r="T60" s="171"/>
      <c r="U60" s="171"/>
    </row>
    <row r="61" spans="1:21" ht="15" customHeight="1">
      <c r="A61">
        <v>1</v>
      </c>
      <c r="B61" t="s">
        <v>208</v>
      </c>
      <c r="C61">
        <v>2</v>
      </c>
      <c r="D61">
        <v>-3345.0509999999999</v>
      </c>
      <c r="E61">
        <v>-12.356999999999999</v>
      </c>
      <c r="F61">
        <v>12.356999999999999</v>
      </c>
      <c r="G61">
        <v>0</v>
      </c>
      <c r="H61">
        <v>-43.314999999999998</v>
      </c>
      <c r="I61">
        <v>-43.314999999999998</v>
      </c>
      <c r="P61" s="171"/>
      <c r="Q61" s="171"/>
      <c r="R61" s="171"/>
      <c r="S61" s="171"/>
      <c r="T61" s="171"/>
      <c r="U61" s="171"/>
    </row>
    <row r="62" spans="1:21" ht="15" customHeight="1">
      <c r="A62">
        <v>1</v>
      </c>
      <c r="B62" t="s">
        <v>209</v>
      </c>
      <c r="C62">
        <v>1</v>
      </c>
      <c r="D62">
        <v>5558.2110000000002</v>
      </c>
      <c r="E62">
        <v>-12.356999999999999</v>
      </c>
      <c r="F62">
        <v>12.356999999999999</v>
      </c>
      <c r="G62">
        <v>0</v>
      </c>
      <c r="H62">
        <v>-59.378999999999998</v>
      </c>
      <c r="I62">
        <v>-59.378999999999998</v>
      </c>
      <c r="P62" s="171"/>
      <c r="Q62" s="171"/>
      <c r="R62" s="171"/>
      <c r="S62" s="171"/>
      <c r="T62" s="171"/>
      <c r="U62" s="171"/>
    </row>
    <row r="63" spans="1:21" ht="15" customHeight="1">
      <c r="A63">
        <v>1</v>
      </c>
      <c r="B63" t="s">
        <v>209</v>
      </c>
      <c r="C63">
        <v>2</v>
      </c>
      <c r="D63">
        <v>-3345.0509999999999</v>
      </c>
      <c r="E63">
        <v>12.356999999999999</v>
      </c>
      <c r="F63">
        <v>-12.356999999999999</v>
      </c>
      <c r="G63">
        <v>0</v>
      </c>
      <c r="H63">
        <v>43.314999999999998</v>
      </c>
      <c r="I63">
        <v>43.314999999999998</v>
      </c>
      <c r="P63" s="171"/>
      <c r="Q63" s="171"/>
      <c r="R63" s="171"/>
      <c r="S63" s="171"/>
      <c r="T63" s="171"/>
      <c r="U63" s="171"/>
    </row>
    <row r="64" spans="1:21" ht="15" customHeight="1">
      <c r="A64">
        <v>1</v>
      </c>
      <c r="B64" t="s">
        <v>210</v>
      </c>
      <c r="C64">
        <v>1</v>
      </c>
      <c r="D64">
        <v>5558.2110000000002</v>
      </c>
      <c r="E64">
        <v>12.356999999999999</v>
      </c>
      <c r="F64">
        <v>12.356999999999999</v>
      </c>
      <c r="G64">
        <v>0</v>
      </c>
      <c r="H64">
        <v>-59.378999999999998</v>
      </c>
      <c r="I64">
        <v>59.378999999999998</v>
      </c>
      <c r="P64" s="171"/>
      <c r="Q64" s="171"/>
      <c r="R64" s="171"/>
      <c r="S64" s="171"/>
      <c r="T64" s="171"/>
      <c r="U64" s="171"/>
    </row>
    <row r="65" spans="1:21" ht="15" customHeight="1">
      <c r="A65">
        <v>1</v>
      </c>
      <c r="B65" t="s">
        <v>210</v>
      </c>
      <c r="C65">
        <v>2</v>
      </c>
      <c r="D65">
        <v>-3345.0509999999999</v>
      </c>
      <c r="E65">
        <v>-12.356999999999999</v>
      </c>
      <c r="F65">
        <v>-12.356999999999999</v>
      </c>
      <c r="G65">
        <v>0</v>
      </c>
      <c r="H65">
        <v>43.314999999999998</v>
      </c>
      <c r="I65">
        <v>-43.314999999999998</v>
      </c>
      <c r="P65" s="171"/>
      <c r="Q65" s="171"/>
      <c r="R65" s="171"/>
      <c r="S65" s="171"/>
      <c r="T65" s="171"/>
      <c r="U65" s="171"/>
    </row>
    <row r="66" spans="1:21" ht="15" customHeight="1">
      <c r="A66">
        <v>1</v>
      </c>
      <c r="B66" t="s">
        <v>211</v>
      </c>
      <c r="C66">
        <v>1</v>
      </c>
      <c r="D66">
        <v>5558.2110000000002</v>
      </c>
      <c r="E66">
        <v>-12.356999999999999</v>
      </c>
      <c r="F66">
        <v>-12.356999999999999</v>
      </c>
      <c r="G66">
        <v>0</v>
      </c>
      <c r="H66">
        <v>59.378999999999998</v>
      </c>
      <c r="I66">
        <v>-59.378999999999998</v>
      </c>
    </row>
    <row r="67" spans="1:21" ht="15" customHeight="1">
      <c r="A67">
        <v>1</v>
      </c>
      <c r="B67" t="s">
        <v>211</v>
      </c>
      <c r="C67">
        <v>2</v>
      </c>
      <c r="D67">
        <v>-3345.0509999999999</v>
      </c>
      <c r="E67">
        <v>12.356999999999999</v>
      </c>
      <c r="F67">
        <v>12.356999999999999</v>
      </c>
      <c r="G67">
        <v>0</v>
      </c>
      <c r="H67">
        <v>-43.314999999999998</v>
      </c>
      <c r="I67">
        <v>43.314999999999998</v>
      </c>
    </row>
    <row r="68" spans="1:21" ht="15" customHeight="1">
      <c r="A68">
        <v>1</v>
      </c>
      <c r="B68" t="s">
        <v>212</v>
      </c>
      <c r="C68">
        <v>1</v>
      </c>
      <c r="D68">
        <v>1488.7629999999999</v>
      </c>
      <c r="E68">
        <v>34.956000000000003</v>
      </c>
      <c r="F68">
        <v>0</v>
      </c>
      <c r="G68">
        <v>0</v>
      </c>
      <c r="H68">
        <v>0</v>
      </c>
      <c r="I68">
        <v>167.97499999999999</v>
      </c>
    </row>
    <row r="69" spans="1:21" ht="15" customHeight="1">
      <c r="A69">
        <v>1</v>
      </c>
      <c r="B69" t="s">
        <v>212</v>
      </c>
      <c r="C69">
        <v>2</v>
      </c>
      <c r="D69">
        <v>-160.86600000000001</v>
      </c>
      <c r="E69">
        <v>-34.956000000000003</v>
      </c>
      <c r="F69">
        <v>0</v>
      </c>
      <c r="G69">
        <v>0</v>
      </c>
      <c r="H69">
        <v>0</v>
      </c>
      <c r="I69">
        <v>-122.532</v>
      </c>
    </row>
    <row r="70" spans="1:21" ht="15" customHeight="1">
      <c r="A70">
        <v>1</v>
      </c>
      <c r="B70" t="s">
        <v>213</v>
      </c>
      <c r="C70">
        <v>1</v>
      </c>
      <c r="D70">
        <v>1488.7629999999999</v>
      </c>
      <c r="E70">
        <v>-34.956000000000003</v>
      </c>
      <c r="F70">
        <v>0</v>
      </c>
      <c r="G70">
        <v>0</v>
      </c>
      <c r="H70">
        <v>0</v>
      </c>
      <c r="I70">
        <v>-167.97499999999999</v>
      </c>
    </row>
    <row r="71" spans="1:21" ht="15" customHeight="1">
      <c r="A71">
        <v>1</v>
      </c>
      <c r="B71" t="s">
        <v>213</v>
      </c>
      <c r="C71">
        <v>2</v>
      </c>
      <c r="D71">
        <v>-160.86600000000001</v>
      </c>
      <c r="E71">
        <v>34.956000000000003</v>
      </c>
      <c r="F71">
        <v>0</v>
      </c>
      <c r="G71">
        <v>0</v>
      </c>
      <c r="H71">
        <v>0</v>
      </c>
      <c r="I71">
        <v>122.532</v>
      </c>
    </row>
    <row r="72" spans="1:21" ht="15" customHeight="1">
      <c r="A72">
        <v>1</v>
      </c>
      <c r="B72" t="s">
        <v>214</v>
      </c>
      <c r="C72">
        <v>1</v>
      </c>
      <c r="D72">
        <v>1488.7629999999999</v>
      </c>
      <c r="E72">
        <v>0</v>
      </c>
      <c r="F72">
        <v>-34.956000000000003</v>
      </c>
      <c r="G72">
        <v>0</v>
      </c>
      <c r="H72">
        <v>167.97499999999999</v>
      </c>
      <c r="I72">
        <v>0</v>
      </c>
    </row>
    <row r="73" spans="1:21" ht="15" customHeight="1">
      <c r="A73">
        <v>1</v>
      </c>
      <c r="B73" t="s">
        <v>214</v>
      </c>
      <c r="C73">
        <v>2</v>
      </c>
      <c r="D73">
        <v>-160.86600000000001</v>
      </c>
      <c r="E73">
        <v>0</v>
      </c>
      <c r="F73">
        <v>34.956000000000003</v>
      </c>
      <c r="G73">
        <v>0</v>
      </c>
      <c r="H73">
        <v>-122.532</v>
      </c>
      <c r="I73">
        <v>0</v>
      </c>
    </row>
    <row r="74" spans="1:21" ht="15" customHeight="1">
      <c r="A74">
        <v>1</v>
      </c>
      <c r="B74" t="s">
        <v>215</v>
      </c>
      <c r="C74">
        <v>1</v>
      </c>
      <c r="D74">
        <v>1488.7629999999999</v>
      </c>
      <c r="E74">
        <v>0</v>
      </c>
      <c r="F74">
        <v>34.956000000000003</v>
      </c>
      <c r="G74">
        <v>0</v>
      </c>
      <c r="H74">
        <v>-167.97499999999999</v>
      </c>
      <c r="I74">
        <v>0</v>
      </c>
    </row>
    <row r="75" spans="1:21" ht="15" customHeight="1">
      <c r="A75">
        <v>1</v>
      </c>
      <c r="B75" t="s">
        <v>215</v>
      </c>
      <c r="C75">
        <v>2</v>
      </c>
      <c r="D75">
        <v>-160.86600000000001</v>
      </c>
      <c r="E75">
        <v>0</v>
      </c>
      <c r="F75">
        <v>-34.956000000000003</v>
      </c>
      <c r="G75">
        <v>0</v>
      </c>
      <c r="H75">
        <v>122.532</v>
      </c>
      <c r="I75">
        <v>0</v>
      </c>
    </row>
    <row r="76" spans="1:21" ht="15" customHeight="1">
      <c r="A76">
        <v>1</v>
      </c>
      <c r="B76" t="s">
        <v>216</v>
      </c>
      <c r="C76">
        <v>1</v>
      </c>
      <c r="D76">
        <v>1488.7629999999999</v>
      </c>
      <c r="E76">
        <v>24.713999999999999</v>
      </c>
      <c r="F76">
        <v>-24.713999999999999</v>
      </c>
      <c r="G76">
        <v>0</v>
      </c>
      <c r="H76">
        <v>118.758</v>
      </c>
      <c r="I76">
        <v>118.758</v>
      </c>
    </row>
    <row r="77" spans="1:21" ht="15" customHeight="1">
      <c r="A77">
        <v>1</v>
      </c>
      <c r="B77" t="s">
        <v>216</v>
      </c>
      <c r="C77">
        <v>2</v>
      </c>
      <c r="D77">
        <v>-160.86600000000001</v>
      </c>
      <c r="E77">
        <v>-24.713999999999999</v>
      </c>
      <c r="F77">
        <v>24.713999999999999</v>
      </c>
      <c r="G77">
        <v>0</v>
      </c>
      <c r="H77">
        <v>-86.63</v>
      </c>
      <c r="I77">
        <v>-86.63</v>
      </c>
    </row>
    <row r="78" spans="1:21" ht="15" customHeight="1">
      <c r="A78">
        <v>1</v>
      </c>
      <c r="B78" t="s">
        <v>217</v>
      </c>
      <c r="C78">
        <v>1</v>
      </c>
      <c r="D78">
        <v>1488.7629999999999</v>
      </c>
      <c r="E78">
        <v>-24.713999999999999</v>
      </c>
      <c r="F78">
        <v>24.713999999999999</v>
      </c>
      <c r="G78">
        <v>0</v>
      </c>
      <c r="H78">
        <v>-118.758</v>
      </c>
      <c r="I78">
        <v>-118.758</v>
      </c>
    </row>
    <row r="79" spans="1:21" ht="15" customHeight="1">
      <c r="A79">
        <v>1</v>
      </c>
      <c r="B79" t="s">
        <v>217</v>
      </c>
      <c r="C79">
        <v>2</v>
      </c>
      <c r="D79">
        <v>-160.86600000000001</v>
      </c>
      <c r="E79">
        <v>24.713999999999999</v>
      </c>
      <c r="F79">
        <v>-24.713999999999999</v>
      </c>
      <c r="G79">
        <v>0</v>
      </c>
      <c r="H79">
        <v>86.63</v>
      </c>
      <c r="I79">
        <v>86.63</v>
      </c>
    </row>
    <row r="80" spans="1:21" ht="15" customHeight="1">
      <c r="A80">
        <v>1</v>
      </c>
      <c r="B80" t="s">
        <v>218</v>
      </c>
      <c r="C80">
        <v>1</v>
      </c>
      <c r="D80">
        <v>1488.7629999999999</v>
      </c>
      <c r="E80">
        <v>24.713999999999999</v>
      </c>
      <c r="F80">
        <v>24.713999999999999</v>
      </c>
      <c r="G80">
        <v>0</v>
      </c>
      <c r="H80">
        <v>-118.758</v>
      </c>
      <c r="I80">
        <v>118.758</v>
      </c>
    </row>
    <row r="81" spans="1:9" ht="15" customHeight="1">
      <c r="A81">
        <v>1</v>
      </c>
      <c r="B81" t="s">
        <v>218</v>
      </c>
      <c r="C81">
        <v>2</v>
      </c>
      <c r="D81">
        <v>-160.86600000000001</v>
      </c>
      <c r="E81">
        <v>-24.713999999999999</v>
      </c>
      <c r="F81">
        <v>-24.713999999999999</v>
      </c>
      <c r="G81">
        <v>0</v>
      </c>
      <c r="H81">
        <v>86.63</v>
      </c>
      <c r="I81">
        <v>-86.63</v>
      </c>
    </row>
    <row r="82" spans="1:9" ht="15" customHeight="1">
      <c r="A82">
        <v>1</v>
      </c>
      <c r="B82" t="s">
        <v>219</v>
      </c>
      <c r="C82">
        <v>1</v>
      </c>
      <c r="D82">
        <v>1488.7629999999999</v>
      </c>
      <c r="E82">
        <v>-24.713999999999999</v>
      </c>
      <c r="F82">
        <v>-24.713999999999999</v>
      </c>
      <c r="G82">
        <v>0</v>
      </c>
      <c r="H82">
        <v>118.758</v>
      </c>
      <c r="I82">
        <v>-118.758</v>
      </c>
    </row>
    <row r="83" spans="1:9" ht="15" customHeight="1">
      <c r="A83">
        <v>1</v>
      </c>
      <c r="B83" t="s">
        <v>219</v>
      </c>
      <c r="C83">
        <v>2</v>
      </c>
      <c r="D83">
        <v>-160.86600000000001</v>
      </c>
      <c r="E83">
        <v>24.713999999999999</v>
      </c>
      <c r="F83">
        <v>24.713999999999999</v>
      </c>
      <c r="G83">
        <v>0</v>
      </c>
      <c r="H83">
        <v>-86.63</v>
      </c>
      <c r="I83">
        <v>86.63</v>
      </c>
    </row>
    <row r="84" spans="1:9" ht="15" customHeight="1">
      <c r="A84">
        <v>1</v>
      </c>
      <c r="B84" t="s">
        <v>220</v>
      </c>
      <c r="C84">
        <v>1</v>
      </c>
      <c r="D84">
        <v>1488.7629999999999</v>
      </c>
      <c r="E84">
        <v>12.04</v>
      </c>
      <c r="F84">
        <v>0</v>
      </c>
      <c r="G84">
        <v>0</v>
      </c>
      <c r="H84">
        <v>0</v>
      </c>
      <c r="I84">
        <v>60.326000000000001</v>
      </c>
    </row>
    <row r="85" spans="1:9" ht="15" customHeight="1">
      <c r="A85">
        <v>1</v>
      </c>
      <c r="B85" t="s">
        <v>220</v>
      </c>
      <c r="C85">
        <v>2</v>
      </c>
      <c r="D85">
        <v>-160.86600000000001</v>
      </c>
      <c r="E85">
        <v>-12.04</v>
      </c>
      <c r="F85">
        <v>0</v>
      </c>
      <c r="G85">
        <v>0</v>
      </c>
      <c r="H85">
        <v>0</v>
      </c>
      <c r="I85">
        <v>-44.673999999999999</v>
      </c>
    </row>
    <row r="86" spans="1:9" ht="15" customHeight="1">
      <c r="A86">
        <v>1</v>
      </c>
      <c r="B86" t="s">
        <v>221</v>
      </c>
      <c r="C86">
        <v>1</v>
      </c>
      <c r="D86">
        <v>1488.7629999999999</v>
      </c>
      <c r="E86">
        <v>-12.04</v>
      </c>
      <c r="F86">
        <v>0</v>
      </c>
      <c r="G86">
        <v>0</v>
      </c>
      <c r="H86">
        <v>0</v>
      </c>
      <c r="I86">
        <v>-60.326000000000001</v>
      </c>
    </row>
    <row r="87" spans="1:9" ht="15" customHeight="1">
      <c r="A87">
        <v>1</v>
      </c>
      <c r="B87" t="s">
        <v>221</v>
      </c>
      <c r="C87">
        <v>2</v>
      </c>
      <c r="D87">
        <v>-160.86600000000001</v>
      </c>
      <c r="E87">
        <v>12.04</v>
      </c>
      <c r="F87">
        <v>0</v>
      </c>
      <c r="G87">
        <v>0</v>
      </c>
      <c r="H87">
        <v>0</v>
      </c>
      <c r="I87">
        <v>44.673999999999999</v>
      </c>
    </row>
    <row r="88" spans="1:9" ht="15" customHeight="1">
      <c r="A88">
        <v>1</v>
      </c>
      <c r="B88" t="s">
        <v>222</v>
      </c>
      <c r="C88">
        <v>1</v>
      </c>
      <c r="D88">
        <v>1488.7629999999999</v>
      </c>
      <c r="E88">
        <v>0</v>
      </c>
      <c r="F88">
        <v>-12.04</v>
      </c>
      <c r="G88">
        <v>0</v>
      </c>
      <c r="H88">
        <v>60.326000000000001</v>
      </c>
      <c r="I88">
        <v>0</v>
      </c>
    </row>
    <row r="89" spans="1:9" ht="15" customHeight="1">
      <c r="A89">
        <v>1</v>
      </c>
      <c r="B89" t="s">
        <v>222</v>
      </c>
      <c r="C89">
        <v>2</v>
      </c>
      <c r="D89">
        <v>-160.86600000000001</v>
      </c>
      <c r="E89">
        <v>0</v>
      </c>
      <c r="F89">
        <v>12.04</v>
      </c>
      <c r="G89">
        <v>0</v>
      </c>
      <c r="H89">
        <v>-44.673999999999999</v>
      </c>
      <c r="I89">
        <v>0</v>
      </c>
    </row>
    <row r="90" spans="1:9" ht="15" customHeight="1">
      <c r="A90">
        <v>1</v>
      </c>
      <c r="B90" t="s">
        <v>223</v>
      </c>
      <c r="C90">
        <v>1</v>
      </c>
      <c r="D90">
        <v>1488.7629999999999</v>
      </c>
      <c r="E90">
        <v>0</v>
      </c>
      <c r="F90">
        <v>12.04</v>
      </c>
      <c r="G90">
        <v>0</v>
      </c>
      <c r="H90">
        <v>-60.326000000000001</v>
      </c>
      <c r="I90">
        <v>0</v>
      </c>
    </row>
    <row r="91" spans="1:9" ht="15" customHeight="1">
      <c r="A91">
        <v>1</v>
      </c>
      <c r="B91" t="s">
        <v>223</v>
      </c>
      <c r="C91">
        <v>2</v>
      </c>
      <c r="D91">
        <v>-160.86600000000001</v>
      </c>
      <c r="E91">
        <v>0</v>
      </c>
      <c r="F91">
        <v>-12.04</v>
      </c>
      <c r="G91">
        <v>0</v>
      </c>
      <c r="H91">
        <v>44.673999999999999</v>
      </c>
      <c r="I91">
        <v>0</v>
      </c>
    </row>
    <row r="92" spans="1:9" ht="15" customHeight="1">
      <c r="A92"/>
      <c r="B92"/>
      <c r="C92"/>
      <c r="D92"/>
      <c r="E92"/>
      <c r="F92"/>
      <c r="G92"/>
      <c r="H92"/>
      <c r="I92"/>
    </row>
    <row r="93" spans="1:9" ht="15" customHeight="1">
      <c r="A93"/>
      <c r="B93"/>
      <c r="C93"/>
      <c r="D93"/>
      <c r="E93"/>
      <c r="F93"/>
      <c r="G93"/>
      <c r="H93"/>
      <c r="I93"/>
    </row>
    <row r="94" spans="1:9" ht="15" customHeight="1">
      <c r="A94"/>
      <c r="B94"/>
      <c r="C94"/>
      <c r="D94"/>
      <c r="E94"/>
      <c r="F94"/>
      <c r="G94"/>
      <c r="H94"/>
      <c r="I94"/>
    </row>
    <row r="95" spans="1:9" ht="15" customHeight="1">
      <c r="A95"/>
      <c r="B95"/>
      <c r="C95"/>
      <c r="D95"/>
      <c r="E95"/>
      <c r="F95"/>
      <c r="G95"/>
      <c r="H95"/>
      <c r="I95"/>
    </row>
    <row r="96" spans="1:9" ht="15" customHeight="1">
      <c r="A96"/>
      <c r="B96"/>
      <c r="C96"/>
      <c r="D96"/>
      <c r="E96"/>
      <c r="F96"/>
      <c r="G96"/>
      <c r="H96"/>
      <c r="I96"/>
    </row>
    <row r="97" spans="1:9" ht="15" customHeight="1">
      <c r="A97"/>
      <c r="B97"/>
      <c r="C97"/>
      <c r="D97"/>
      <c r="E97"/>
      <c r="F97"/>
      <c r="G97"/>
      <c r="H97"/>
      <c r="I97"/>
    </row>
    <row r="98" spans="1:9" ht="15" customHeight="1">
      <c r="A98"/>
      <c r="B98"/>
      <c r="C98"/>
      <c r="D98"/>
      <c r="E98"/>
      <c r="F98"/>
      <c r="G98"/>
      <c r="H98"/>
      <c r="I98"/>
    </row>
    <row r="99" spans="1:9" ht="15" customHeight="1">
      <c r="A99"/>
      <c r="B99"/>
      <c r="C99"/>
      <c r="D99"/>
      <c r="E99"/>
      <c r="F99"/>
      <c r="G99"/>
      <c r="H99"/>
      <c r="I99"/>
    </row>
    <row r="100" spans="1:9" ht="15" customHeight="1">
      <c r="A100"/>
      <c r="B100"/>
      <c r="C100"/>
      <c r="D100"/>
      <c r="E100"/>
      <c r="F100"/>
      <c r="G100"/>
      <c r="H100"/>
      <c r="I100"/>
    </row>
    <row r="101" spans="1:9" ht="15" customHeight="1">
      <c r="A101"/>
      <c r="B101"/>
      <c r="C101"/>
      <c r="D101"/>
      <c r="E101"/>
      <c r="F101"/>
      <c r="G101"/>
      <c r="H101"/>
      <c r="I101"/>
    </row>
    <row r="102" spans="1:9" ht="15" customHeight="1">
      <c r="A102"/>
      <c r="B102"/>
      <c r="C102"/>
      <c r="D102"/>
      <c r="E102"/>
      <c r="F102"/>
      <c r="G102"/>
      <c r="H102"/>
      <c r="I102"/>
    </row>
    <row r="103" spans="1:9" ht="15" customHeight="1">
      <c r="A103"/>
      <c r="B103"/>
      <c r="C103"/>
      <c r="D103"/>
      <c r="E103"/>
      <c r="F103"/>
      <c r="G103"/>
      <c r="H103"/>
      <c r="I103"/>
    </row>
    <row r="104" spans="1:9" ht="15" customHeight="1">
      <c r="A104"/>
      <c r="B104"/>
      <c r="C104"/>
      <c r="D104"/>
      <c r="E104"/>
      <c r="F104"/>
      <c r="G104"/>
      <c r="H104"/>
      <c r="I104"/>
    </row>
    <row r="105" spans="1:9" ht="15" customHeight="1">
      <c r="A105"/>
      <c r="B105"/>
      <c r="C105"/>
      <c r="D105"/>
      <c r="E105"/>
      <c r="F105"/>
      <c r="G105"/>
      <c r="H105"/>
      <c r="I105"/>
    </row>
    <row r="106" spans="1:9" ht="15" customHeight="1">
      <c r="A106"/>
      <c r="B106"/>
      <c r="C106"/>
      <c r="D106"/>
      <c r="E106"/>
      <c r="F106"/>
      <c r="G106"/>
      <c r="H106"/>
      <c r="I106"/>
    </row>
    <row r="107" spans="1:9" ht="15" customHeight="1">
      <c r="A107"/>
      <c r="B107"/>
      <c r="C107"/>
      <c r="D107"/>
      <c r="E107"/>
      <c r="F107"/>
      <c r="G107"/>
      <c r="H107"/>
      <c r="I107"/>
    </row>
    <row r="108" spans="1:9" ht="15" customHeight="1">
      <c r="A108"/>
      <c r="B108"/>
      <c r="C108"/>
      <c r="D108"/>
      <c r="E108"/>
      <c r="F108"/>
      <c r="G108"/>
      <c r="H108"/>
      <c r="I108"/>
    </row>
    <row r="109" spans="1:9" ht="15" customHeight="1">
      <c r="A109"/>
      <c r="B109"/>
      <c r="C109"/>
      <c r="D109"/>
      <c r="E109"/>
      <c r="F109"/>
      <c r="G109"/>
      <c r="H109"/>
      <c r="I109"/>
    </row>
    <row r="110" spans="1:9" ht="15" customHeight="1">
      <c r="A110"/>
      <c r="B110"/>
      <c r="C110"/>
      <c r="D110"/>
      <c r="E110"/>
      <c r="F110"/>
      <c r="G110"/>
      <c r="H110"/>
      <c r="I110"/>
    </row>
    <row r="111" spans="1:9" ht="15" customHeight="1">
      <c r="A111"/>
      <c r="B111"/>
      <c r="C111"/>
      <c r="D111"/>
      <c r="E111"/>
      <c r="F111"/>
      <c r="G111"/>
      <c r="H111"/>
      <c r="I111"/>
    </row>
    <row r="112" spans="1:9" ht="15" customHeight="1">
      <c r="A112"/>
      <c r="B112"/>
      <c r="C112"/>
      <c r="D112"/>
      <c r="E112"/>
      <c r="F112"/>
      <c r="G112"/>
      <c r="H112"/>
      <c r="I112"/>
    </row>
    <row r="113" spans="1:9" ht="15" customHeight="1">
      <c r="A113"/>
      <c r="B113"/>
      <c r="C113"/>
      <c r="D113"/>
      <c r="E113"/>
      <c r="F113"/>
      <c r="G113"/>
      <c r="H113"/>
      <c r="I113"/>
    </row>
    <row r="114" spans="1:9" ht="15" customHeight="1">
      <c r="A114"/>
      <c r="B114"/>
      <c r="C114"/>
      <c r="D114"/>
      <c r="E114"/>
      <c r="F114"/>
      <c r="G114"/>
      <c r="H114"/>
      <c r="I114"/>
    </row>
    <row r="115" spans="1:9" ht="15" customHeight="1">
      <c r="A115"/>
      <c r="B115"/>
      <c r="C115"/>
      <c r="D115"/>
      <c r="E115"/>
      <c r="F115"/>
      <c r="G115"/>
      <c r="H115"/>
      <c r="I115"/>
    </row>
    <row r="116" spans="1:9" ht="15" customHeight="1">
      <c r="A116"/>
      <c r="B116"/>
      <c r="C116"/>
      <c r="D116"/>
      <c r="E116"/>
      <c r="F116"/>
      <c r="G116"/>
      <c r="H116"/>
      <c r="I116"/>
    </row>
    <row r="117" spans="1:9" ht="15" customHeight="1">
      <c r="A117"/>
      <c r="B117"/>
      <c r="C117"/>
      <c r="D117"/>
      <c r="E117"/>
      <c r="F117"/>
      <c r="G117"/>
      <c r="H117"/>
      <c r="I117"/>
    </row>
    <row r="118" spans="1:9" ht="15" customHeight="1">
      <c r="A118"/>
      <c r="B118"/>
      <c r="C118"/>
      <c r="D118"/>
      <c r="E118"/>
      <c r="F118"/>
      <c r="G118"/>
      <c r="H118"/>
      <c r="I118"/>
    </row>
    <row r="119" spans="1:9" ht="15" customHeight="1">
      <c r="A119"/>
      <c r="B119"/>
      <c r="C119"/>
      <c r="D119"/>
      <c r="E119"/>
      <c r="F119"/>
      <c r="G119"/>
      <c r="H119"/>
      <c r="I119"/>
    </row>
    <row r="120" spans="1:9" ht="15" customHeight="1">
      <c r="A120"/>
      <c r="B120"/>
      <c r="C120"/>
      <c r="D120"/>
      <c r="E120"/>
      <c r="F120"/>
      <c r="G120"/>
      <c r="H120"/>
      <c r="I120"/>
    </row>
    <row r="121" spans="1:9" ht="15" customHeight="1">
      <c r="A121"/>
      <c r="B121"/>
      <c r="C121"/>
      <c r="D121"/>
      <c r="E121"/>
      <c r="F121"/>
      <c r="G121"/>
      <c r="H121"/>
      <c r="I121"/>
    </row>
    <row r="122" spans="1:9" ht="15" customHeight="1">
      <c r="A122"/>
      <c r="B122"/>
      <c r="C122"/>
      <c r="D122"/>
      <c r="E122"/>
      <c r="F122"/>
      <c r="G122"/>
      <c r="H122"/>
      <c r="I122"/>
    </row>
    <row r="123" spans="1:9" ht="15" customHeight="1">
      <c r="A123"/>
      <c r="B123"/>
      <c r="C123"/>
      <c r="D123"/>
      <c r="E123"/>
      <c r="F123"/>
      <c r="G123"/>
      <c r="H123"/>
      <c r="I123"/>
    </row>
    <row r="124" spans="1:9" ht="15" customHeight="1">
      <c r="A124"/>
      <c r="B124"/>
      <c r="C124"/>
      <c r="D124"/>
      <c r="E124"/>
      <c r="F124"/>
      <c r="G124"/>
      <c r="H124"/>
      <c r="I124"/>
    </row>
    <row r="125" spans="1:9" ht="15" customHeight="1">
      <c r="A125"/>
      <c r="B125"/>
      <c r="C125"/>
      <c r="D125"/>
      <c r="E125"/>
      <c r="F125"/>
      <c r="G125"/>
      <c r="H125"/>
      <c r="I125"/>
    </row>
    <row r="126" spans="1:9" ht="15" customHeight="1">
      <c r="A126"/>
      <c r="B126"/>
      <c r="C126"/>
      <c r="D126"/>
      <c r="E126"/>
      <c r="F126"/>
      <c r="G126"/>
      <c r="H126"/>
      <c r="I126"/>
    </row>
    <row r="127" spans="1:9" ht="15" customHeight="1">
      <c r="A127"/>
      <c r="B127"/>
      <c r="C127"/>
      <c r="D127"/>
      <c r="E127"/>
      <c r="F127"/>
      <c r="G127"/>
      <c r="H127"/>
      <c r="I127"/>
    </row>
    <row r="128" spans="1:9" ht="15" customHeight="1">
      <c r="A128"/>
      <c r="B128"/>
      <c r="C128"/>
      <c r="D128"/>
      <c r="E128"/>
      <c r="F128"/>
      <c r="G128"/>
      <c r="H128"/>
      <c r="I128"/>
    </row>
    <row r="129" spans="1:9" ht="15" customHeight="1">
      <c r="A129"/>
      <c r="B129"/>
      <c r="C129"/>
      <c r="D129"/>
      <c r="E129"/>
      <c r="F129"/>
      <c r="G129"/>
      <c r="H129"/>
      <c r="I129"/>
    </row>
  </sheetData>
  <dataValidations disablePrompts="1" count="1">
    <dataValidation type="list" allowBlank="1" showInputMessage="1" showErrorMessage="1" sqref="K2" xr:uid="{85750496-8B58-4737-8BA3-E0ACFB17F558}">
      <formula1>"END, START"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01B9C-9A76-4060-9D07-068E427653E9}">
  <sheetPr codeName="Sheet12"/>
  <dimension ref="A1:C157"/>
  <sheetViews>
    <sheetView tabSelected="1" workbookViewId="0">
      <selection activeCell="R13" sqref="R13"/>
    </sheetView>
  </sheetViews>
  <sheetFormatPr defaultRowHeight="13.2"/>
  <cols>
    <col min="3" max="3" width="10.6640625" customWidth="1"/>
  </cols>
  <sheetData>
    <row r="1" spans="1:3" ht="24" customHeight="1">
      <c r="A1" s="175" t="s">
        <v>228</v>
      </c>
      <c r="B1" s="176" t="s">
        <v>229</v>
      </c>
      <c r="C1" s="180"/>
    </row>
    <row r="2" spans="1:3">
      <c r="A2" s="175">
        <v>101</v>
      </c>
      <c r="B2" s="176">
        <v>1</v>
      </c>
    </row>
    <row r="3" spans="1:3">
      <c r="A3" s="175">
        <v>102</v>
      </c>
      <c r="B3" s="176">
        <v>1</v>
      </c>
    </row>
    <row r="4" spans="1:3">
      <c r="A4" s="175">
        <v>103</v>
      </c>
      <c r="B4" s="176">
        <v>1</v>
      </c>
    </row>
    <row r="5" spans="1:3">
      <c r="A5" s="175">
        <v>104</v>
      </c>
      <c r="B5" s="176">
        <v>1</v>
      </c>
    </row>
    <row r="6" spans="1:3">
      <c r="A6" s="175">
        <v>105</v>
      </c>
      <c r="B6" s="176">
        <v>1</v>
      </c>
    </row>
    <row r="7" spans="1:3">
      <c r="A7" s="175">
        <v>106</v>
      </c>
      <c r="B7" s="176">
        <v>1</v>
      </c>
    </row>
    <row r="8" spans="1:3">
      <c r="A8" s="175">
        <v>107</v>
      </c>
      <c r="B8" s="176">
        <v>1</v>
      </c>
    </row>
    <row r="9" spans="1:3">
      <c r="A9" s="175">
        <v>108</v>
      </c>
      <c r="B9" s="176">
        <v>1</v>
      </c>
    </row>
    <row r="10" spans="1:3">
      <c r="A10" s="175">
        <v>109</v>
      </c>
      <c r="B10" s="176">
        <v>1</v>
      </c>
    </row>
    <row r="11" spans="1:3">
      <c r="A11" s="175">
        <v>110</v>
      </c>
      <c r="B11" s="176">
        <v>1</v>
      </c>
    </row>
    <row r="12" spans="1:3">
      <c r="A12" s="175">
        <v>111</v>
      </c>
      <c r="B12" s="176">
        <v>1</v>
      </c>
    </row>
    <row r="13" spans="1:3">
      <c r="A13" s="175">
        <v>112</v>
      </c>
      <c r="B13" s="176">
        <v>1</v>
      </c>
    </row>
    <row r="14" spans="1:3">
      <c r="A14" s="175">
        <v>113</v>
      </c>
      <c r="B14" s="176">
        <v>1</v>
      </c>
    </row>
    <row r="15" spans="1:3">
      <c r="A15" s="175">
        <v>114</v>
      </c>
      <c r="B15" s="176">
        <v>1</v>
      </c>
    </row>
    <row r="16" spans="1:3">
      <c r="A16" s="175">
        <v>115</v>
      </c>
      <c r="B16" s="176">
        <v>1</v>
      </c>
    </row>
    <row r="17" spans="1:2">
      <c r="A17" s="175">
        <v>116</v>
      </c>
      <c r="B17" s="176">
        <v>1</v>
      </c>
    </row>
    <row r="18" spans="1:2">
      <c r="A18" s="175">
        <v>117</v>
      </c>
      <c r="B18" s="176">
        <v>1</v>
      </c>
    </row>
    <row r="19" spans="1:2">
      <c r="A19" s="175">
        <v>118</v>
      </c>
      <c r="B19" s="176">
        <v>1</v>
      </c>
    </row>
    <row r="20" spans="1:2">
      <c r="A20" s="175">
        <v>119</v>
      </c>
      <c r="B20" s="176">
        <v>1</v>
      </c>
    </row>
    <row r="21" spans="1:2">
      <c r="A21" s="175">
        <v>120</v>
      </c>
      <c r="B21" s="176">
        <v>1</v>
      </c>
    </row>
    <row r="22" spans="1:2">
      <c r="A22" s="175">
        <v>121</v>
      </c>
      <c r="B22" s="176">
        <v>1</v>
      </c>
    </row>
    <row r="23" spans="1:2">
      <c r="A23" s="175">
        <v>122</v>
      </c>
      <c r="B23" s="176">
        <v>1</v>
      </c>
    </row>
    <row r="24" spans="1:2">
      <c r="A24" s="175">
        <v>123</v>
      </c>
      <c r="B24" s="176">
        <v>1</v>
      </c>
    </row>
    <row r="25" spans="1:2">
      <c r="A25" s="175">
        <v>124</v>
      </c>
      <c r="B25" s="176">
        <v>1</v>
      </c>
    </row>
    <row r="26" spans="1:2">
      <c r="A26" s="175">
        <v>125</v>
      </c>
      <c r="B26" s="176">
        <v>1</v>
      </c>
    </row>
    <row r="27" spans="1:2">
      <c r="A27" s="175">
        <v>126</v>
      </c>
      <c r="B27" s="176">
        <v>1</v>
      </c>
    </row>
    <row r="28" spans="1:2">
      <c r="A28" s="175">
        <v>127</v>
      </c>
      <c r="B28" s="176">
        <v>1</v>
      </c>
    </row>
    <row r="29" spans="1:2">
      <c r="A29" s="175">
        <v>128</v>
      </c>
      <c r="B29" s="176">
        <v>1</v>
      </c>
    </row>
    <row r="30" spans="1:2">
      <c r="A30" s="175">
        <v>129</v>
      </c>
      <c r="B30" s="176">
        <v>1</v>
      </c>
    </row>
    <row r="31" spans="1:2">
      <c r="A31" s="175">
        <v>130</v>
      </c>
      <c r="B31" s="176">
        <v>1</v>
      </c>
    </row>
    <row r="32" spans="1:2">
      <c r="A32" s="175">
        <v>131</v>
      </c>
      <c r="B32" s="176">
        <v>1</v>
      </c>
    </row>
    <row r="33" spans="1:2">
      <c r="A33" s="175">
        <v>132</v>
      </c>
      <c r="B33" s="176">
        <v>1</v>
      </c>
    </row>
    <row r="34" spans="1:2">
      <c r="A34" s="175">
        <v>133</v>
      </c>
      <c r="B34" s="176">
        <v>1</v>
      </c>
    </row>
    <row r="35" spans="1:2">
      <c r="A35" s="175">
        <v>134</v>
      </c>
      <c r="B35" s="176">
        <v>0.6</v>
      </c>
    </row>
    <row r="36" spans="1:2">
      <c r="A36" s="175">
        <v>135</v>
      </c>
      <c r="B36" s="176">
        <v>0.6</v>
      </c>
    </row>
    <row r="37" spans="1:2">
      <c r="A37" s="175">
        <v>136</v>
      </c>
      <c r="B37" s="176">
        <v>0.6</v>
      </c>
    </row>
    <row r="38" spans="1:2">
      <c r="A38" s="175">
        <v>137</v>
      </c>
      <c r="B38" s="176">
        <v>0.6</v>
      </c>
    </row>
    <row r="39" spans="1:2">
      <c r="A39" s="175">
        <v>138</v>
      </c>
      <c r="B39" s="176">
        <v>0.6</v>
      </c>
    </row>
    <row r="40" spans="1:2">
      <c r="A40" s="175">
        <v>139</v>
      </c>
      <c r="B40" s="176">
        <v>0.6</v>
      </c>
    </row>
    <row r="41" spans="1:2">
      <c r="A41" s="175">
        <v>140</v>
      </c>
      <c r="B41" s="176">
        <v>0.6</v>
      </c>
    </row>
    <row r="42" spans="1:2">
      <c r="A42" s="175">
        <v>141</v>
      </c>
      <c r="B42" s="176">
        <v>0.6</v>
      </c>
    </row>
    <row r="43" spans="1:2">
      <c r="A43" s="175">
        <v>142</v>
      </c>
      <c r="B43" s="176">
        <v>0.6</v>
      </c>
    </row>
    <row r="44" spans="1:2">
      <c r="A44" s="175">
        <v>143</v>
      </c>
      <c r="B44" s="176">
        <v>0.6</v>
      </c>
    </row>
    <row r="45" spans="1:2">
      <c r="A45" s="175">
        <v>144</v>
      </c>
      <c r="B45" s="176">
        <v>0.6</v>
      </c>
    </row>
    <row r="46" spans="1:2">
      <c r="A46" s="175">
        <v>145</v>
      </c>
      <c r="B46" s="176">
        <v>0.6</v>
      </c>
    </row>
    <row r="47" spans="1:2">
      <c r="A47" s="175"/>
      <c r="B47" s="176"/>
    </row>
    <row r="48" spans="1:2">
      <c r="A48" s="175"/>
      <c r="B48" s="176"/>
    </row>
    <row r="49" spans="1:2">
      <c r="A49" s="175"/>
      <c r="B49" s="176"/>
    </row>
    <row r="50" spans="1:2">
      <c r="A50" s="175"/>
      <c r="B50" s="176"/>
    </row>
    <row r="51" spans="1:2">
      <c r="A51" s="175"/>
      <c r="B51" s="176"/>
    </row>
    <row r="52" spans="1:2">
      <c r="A52" s="175"/>
      <c r="B52" s="176"/>
    </row>
    <row r="53" spans="1:2">
      <c r="A53" s="175"/>
      <c r="B53" s="176"/>
    </row>
    <row r="54" spans="1:2">
      <c r="A54" s="175"/>
      <c r="B54" s="176"/>
    </row>
    <row r="55" spans="1:2">
      <c r="A55" s="175"/>
      <c r="B55" s="176"/>
    </row>
    <row r="56" spans="1:2">
      <c r="A56" s="175"/>
      <c r="B56" s="176"/>
    </row>
    <row r="57" spans="1:2">
      <c r="A57" s="175"/>
      <c r="B57" s="176"/>
    </row>
    <row r="58" spans="1:2">
      <c r="A58" s="175"/>
      <c r="B58" s="176"/>
    </row>
    <row r="59" spans="1:2">
      <c r="A59" s="175"/>
      <c r="B59" s="176"/>
    </row>
    <row r="60" spans="1:2">
      <c r="A60" s="175"/>
      <c r="B60" s="176"/>
    </row>
    <row r="61" spans="1:2">
      <c r="A61" s="175"/>
      <c r="B61" s="176"/>
    </row>
    <row r="62" spans="1:2">
      <c r="A62" s="175"/>
      <c r="B62" s="176"/>
    </row>
    <row r="63" spans="1:2">
      <c r="A63" s="175"/>
      <c r="B63" s="176"/>
    </row>
    <row r="64" spans="1:2">
      <c r="A64" s="175"/>
      <c r="B64" s="176"/>
    </row>
    <row r="65" spans="1:2">
      <c r="A65" s="175"/>
      <c r="B65" s="176"/>
    </row>
    <row r="66" spans="1:2">
      <c r="A66" s="175"/>
      <c r="B66" s="176"/>
    </row>
    <row r="67" spans="1:2">
      <c r="A67" s="175"/>
      <c r="B67" s="176"/>
    </row>
    <row r="68" spans="1:2">
      <c r="A68" s="175"/>
      <c r="B68" s="176"/>
    </row>
    <row r="69" spans="1:2">
      <c r="A69" s="175"/>
      <c r="B69" s="176"/>
    </row>
    <row r="70" spans="1:2">
      <c r="A70" s="175"/>
      <c r="B70" s="176"/>
    </row>
    <row r="71" spans="1:2">
      <c r="A71" s="175"/>
      <c r="B71" s="176"/>
    </row>
    <row r="72" spans="1:2">
      <c r="A72" s="175"/>
      <c r="B72" s="176"/>
    </row>
    <row r="73" spans="1:2">
      <c r="A73" s="175"/>
      <c r="B73" s="176"/>
    </row>
    <row r="74" spans="1:2">
      <c r="A74" s="175"/>
      <c r="B74" s="176"/>
    </row>
    <row r="75" spans="1:2">
      <c r="A75" s="175"/>
      <c r="B75" s="176"/>
    </row>
    <row r="76" spans="1:2">
      <c r="A76" s="175"/>
      <c r="B76" s="176"/>
    </row>
    <row r="77" spans="1:2">
      <c r="A77" s="175"/>
      <c r="B77" s="176"/>
    </row>
    <row r="78" spans="1:2">
      <c r="A78" s="175"/>
      <c r="B78" s="176"/>
    </row>
    <row r="79" spans="1:2">
      <c r="A79" s="175"/>
      <c r="B79" s="176"/>
    </row>
    <row r="80" spans="1:2">
      <c r="A80" s="175"/>
      <c r="B80" s="176"/>
    </row>
    <row r="81" spans="1:2">
      <c r="A81" s="175"/>
      <c r="B81" s="176"/>
    </row>
    <row r="82" spans="1:2">
      <c r="A82" s="175"/>
      <c r="B82" s="176"/>
    </row>
    <row r="83" spans="1:2">
      <c r="A83" s="175"/>
      <c r="B83" s="176"/>
    </row>
    <row r="84" spans="1:2">
      <c r="A84" s="175"/>
      <c r="B84" s="176"/>
    </row>
    <row r="85" spans="1:2">
      <c r="A85" s="175"/>
      <c r="B85" s="176"/>
    </row>
    <row r="86" spans="1:2">
      <c r="A86" s="175"/>
      <c r="B86" s="176"/>
    </row>
    <row r="87" spans="1:2">
      <c r="A87" s="175"/>
      <c r="B87" s="176"/>
    </row>
    <row r="88" spans="1:2">
      <c r="A88" s="175"/>
      <c r="B88" s="176"/>
    </row>
    <row r="89" spans="1:2">
      <c r="A89" s="175"/>
      <c r="B89" s="176"/>
    </row>
    <row r="90" spans="1:2">
      <c r="A90" s="175"/>
      <c r="B90" s="176"/>
    </row>
    <row r="91" spans="1:2">
      <c r="A91" s="175"/>
      <c r="B91" s="176"/>
    </row>
    <row r="92" spans="1:2">
      <c r="A92" s="175"/>
      <c r="B92" s="176"/>
    </row>
    <row r="93" spans="1:2">
      <c r="A93" s="175"/>
      <c r="B93" s="176"/>
    </row>
    <row r="94" spans="1:2">
      <c r="A94" s="175"/>
      <c r="B94" s="176"/>
    </row>
    <row r="95" spans="1:2">
      <c r="A95" s="175"/>
      <c r="B95" s="176"/>
    </row>
    <row r="96" spans="1:2">
      <c r="A96" s="175"/>
      <c r="B96" s="176"/>
    </row>
    <row r="97" spans="1:2">
      <c r="A97" s="175"/>
      <c r="B97" s="176"/>
    </row>
    <row r="98" spans="1:2">
      <c r="A98" s="175"/>
      <c r="B98" s="176"/>
    </row>
    <row r="99" spans="1:2">
      <c r="A99" s="175"/>
      <c r="B99" s="176"/>
    </row>
    <row r="100" spans="1:2">
      <c r="A100" s="175"/>
      <c r="B100" s="176"/>
    </row>
    <row r="101" spans="1:2">
      <c r="A101" s="175"/>
      <c r="B101" s="176"/>
    </row>
    <row r="102" spans="1:2">
      <c r="A102" s="175"/>
      <c r="B102" s="176"/>
    </row>
    <row r="103" spans="1:2">
      <c r="A103" s="175"/>
      <c r="B103" s="176"/>
    </row>
    <row r="104" spans="1:2">
      <c r="A104" s="175"/>
      <c r="B104" s="176"/>
    </row>
    <row r="105" spans="1:2">
      <c r="A105" s="175"/>
      <c r="B105" s="176"/>
    </row>
    <row r="106" spans="1:2">
      <c r="A106" s="175"/>
      <c r="B106" s="176"/>
    </row>
    <row r="107" spans="1:2">
      <c r="A107" s="175"/>
      <c r="B107" s="176"/>
    </row>
    <row r="108" spans="1:2">
      <c r="A108" s="175"/>
      <c r="B108" s="176"/>
    </row>
    <row r="109" spans="1:2">
      <c r="A109" s="175"/>
      <c r="B109" s="176"/>
    </row>
    <row r="110" spans="1:2">
      <c r="A110" s="175"/>
      <c r="B110" s="176"/>
    </row>
    <row r="111" spans="1:2">
      <c r="A111" s="175"/>
      <c r="B111" s="176"/>
    </row>
    <row r="112" spans="1:2">
      <c r="A112" s="175"/>
      <c r="B112" s="176"/>
    </row>
    <row r="113" spans="1:2">
      <c r="A113" s="175"/>
      <c r="B113" s="176"/>
    </row>
    <row r="114" spans="1:2">
      <c r="A114" s="175"/>
      <c r="B114" s="176"/>
    </row>
    <row r="115" spans="1:2">
      <c r="A115" s="175"/>
      <c r="B115" s="176"/>
    </row>
    <row r="116" spans="1:2">
      <c r="A116" s="175"/>
      <c r="B116" s="176"/>
    </row>
    <row r="117" spans="1:2">
      <c r="A117" s="175"/>
      <c r="B117" s="176"/>
    </row>
    <row r="118" spans="1:2">
      <c r="A118" s="175"/>
      <c r="B118" s="176"/>
    </row>
    <row r="119" spans="1:2">
      <c r="A119" s="175"/>
      <c r="B119" s="176"/>
    </row>
    <row r="120" spans="1:2">
      <c r="A120" s="175"/>
      <c r="B120" s="176"/>
    </row>
    <row r="121" spans="1:2">
      <c r="A121" s="175"/>
      <c r="B121" s="176"/>
    </row>
    <row r="122" spans="1:2">
      <c r="A122" s="175"/>
      <c r="B122" s="176"/>
    </row>
    <row r="123" spans="1:2">
      <c r="A123" s="175"/>
      <c r="B123" s="176"/>
    </row>
    <row r="124" spans="1:2">
      <c r="A124" s="175"/>
      <c r="B124" s="176"/>
    </row>
    <row r="125" spans="1:2">
      <c r="A125" s="175"/>
      <c r="B125" s="176"/>
    </row>
    <row r="126" spans="1:2">
      <c r="A126" s="175"/>
      <c r="B126" s="176"/>
    </row>
    <row r="127" spans="1:2">
      <c r="A127" s="175"/>
      <c r="B127" s="176"/>
    </row>
    <row r="128" spans="1:2">
      <c r="A128" s="175"/>
      <c r="B128" s="176"/>
    </row>
    <row r="129" spans="1:2">
      <c r="A129" s="175"/>
      <c r="B129" s="176"/>
    </row>
    <row r="130" spans="1:2">
      <c r="A130" s="175"/>
      <c r="B130" s="176"/>
    </row>
    <row r="131" spans="1:2">
      <c r="A131" s="175"/>
      <c r="B131" s="176"/>
    </row>
    <row r="132" spans="1:2">
      <c r="A132" s="175"/>
      <c r="B132" s="176"/>
    </row>
    <row r="133" spans="1:2">
      <c r="A133" s="175"/>
      <c r="B133" s="176"/>
    </row>
    <row r="134" spans="1:2">
      <c r="A134" s="175"/>
      <c r="B134" s="176"/>
    </row>
    <row r="135" spans="1:2">
      <c r="A135" s="175"/>
      <c r="B135" s="176"/>
    </row>
    <row r="136" spans="1:2">
      <c r="A136" s="175"/>
      <c r="B136" s="176"/>
    </row>
    <row r="137" spans="1:2">
      <c r="A137" s="175"/>
      <c r="B137" s="176"/>
    </row>
    <row r="138" spans="1:2">
      <c r="A138" s="175"/>
      <c r="B138" s="176"/>
    </row>
    <row r="139" spans="1:2">
      <c r="A139" s="175"/>
      <c r="B139" s="176"/>
    </row>
    <row r="140" spans="1:2">
      <c r="A140" s="175"/>
      <c r="B140" s="176"/>
    </row>
    <row r="141" spans="1:2">
      <c r="A141" s="175"/>
      <c r="B141" s="176"/>
    </row>
    <row r="142" spans="1:2">
      <c r="A142" s="175"/>
      <c r="B142" s="176"/>
    </row>
    <row r="143" spans="1:2">
      <c r="A143" s="175"/>
      <c r="B143" s="176"/>
    </row>
    <row r="144" spans="1:2">
      <c r="A144" s="175"/>
      <c r="B144" s="176"/>
    </row>
    <row r="145" spans="1:2">
      <c r="A145" s="175"/>
      <c r="B145" s="176"/>
    </row>
    <row r="146" spans="1:2">
      <c r="A146" s="175"/>
      <c r="B146" s="176"/>
    </row>
    <row r="147" spans="1:2">
      <c r="A147" s="175"/>
      <c r="B147" s="176"/>
    </row>
    <row r="148" spans="1:2">
      <c r="A148" s="175"/>
      <c r="B148" s="176"/>
    </row>
    <row r="149" spans="1:2">
      <c r="A149" s="175"/>
      <c r="B149" s="176"/>
    </row>
    <row r="150" spans="1:2">
      <c r="A150" s="175"/>
      <c r="B150" s="176"/>
    </row>
    <row r="151" spans="1:2">
      <c r="A151" s="175"/>
      <c r="B151" s="176"/>
    </row>
    <row r="152" spans="1:2">
      <c r="A152" s="175"/>
      <c r="B152" s="176"/>
    </row>
    <row r="153" spans="1:2">
      <c r="A153" s="175"/>
      <c r="B153" s="176"/>
    </row>
    <row r="154" spans="1:2">
      <c r="A154" s="175"/>
      <c r="B154" s="176"/>
    </row>
    <row r="155" spans="1:2">
      <c r="A155" s="175"/>
      <c r="B155" s="176"/>
    </row>
    <row r="156" spans="1:2">
      <c r="A156" s="175"/>
      <c r="B156" s="176"/>
    </row>
    <row r="157" spans="1:2">
      <c r="A157" s="175"/>
      <c r="B157" s="1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Octagonal Footing</vt:lpstr>
      <vt:lpstr>Loading Data</vt:lpstr>
      <vt:lpstr>LoadCase</vt:lpstr>
      <vt:lpstr>'Octagonal Footing'!Print_Area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"FOOTINGS" Program</dc:title>
  <dc:creator>Alex Tomanovich, P.E. - 151 Shadow Lane, Lyman SC 29365 - Home: 864-968-2699 - Email: ATomanovich@bellsouth.net</dc:creator>
  <dc:description>Rectangular Spread Footing Analysis</dc:description>
  <cp:lastModifiedBy>Nam Truong</cp:lastModifiedBy>
  <cp:lastPrinted>2025-08-01T13:20:51Z</cp:lastPrinted>
  <dcterms:created xsi:type="dcterms:W3CDTF">1999-11-22T20:04:47Z</dcterms:created>
  <dcterms:modified xsi:type="dcterms:W3CDTF">2026-03-15T08:41:02Z</dcterms:modified>
  <cp:category>Structural Engineering Analysis/Design</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-1549027163</vt:i4>
  </property>
  <property fmtid="{D5CDD505-2E9C-101B-9397-08002B2CF9AE}" pid="3" name="_EmailSubject">
    <vt:lpwstr/>
  </property>
  <property fmtid="{D5CDD505-2E9C-101B-9397-08002B2CF9AE}" pid="4" name="_AuthorEmail">
    <vt:lpwstr>JJ.Koo@jacobs.com</vt:lpwstr>
  </property>
  <property fmtid="{D5CDD505-2E9C-101B-9397-08002B2CF9AE}" pid="5" name="_AuthorEmailDisplayName">
    <vt:lpwstr>Koo, Jajin</vt:lpwstr>
  </property>
  <property fmtid="{D5CDD505-2E9C-101B-9397-08002B2CF9AE}" pid="6" name="_ReviewingToolsShownOnce">
    <vt:lpwstr/>
  </property>
</Properties>
</file>